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i1bURN5YsU58RO3U41Go71t6t5g2N1DqKgejBLWyzo="/>
    </ext>
  </extLst>
</workbook>
</file>

<file path=xl/sharedStrings.xml><?xml version="1.0" encoding="utf-8"?>
<sst xmlns="http://schemas.openxmlformats.org/spreadsheetml/2006/main" count="207" uniqueCount="99">
  <si>
    <t>NOTA</t>
  </si>
  <si>
    <t>DAC</t>
  </si>
  <si>
    <t>OpAmp Vout</t>
  </si>
  <si>
    <t>C1</t>
  </si>
  <si>
    <t>C3</t>
  </si>
  <si>
    <t>C5</t>
  </si>
  <si>
    <t>C7</t>
  </si>
  <si>
    <t>C#1</t>
  </si>
  <si>
    <t>C#3</t>
  </si>
  <si>
    <t>C#5</t>
  </si>
  <si>
    <t>C#7</t>
  </si>
  <si>
    <t>D1</t>
  </si>
  <si>
    <t>D3</t>
  </si>
  <si>
    <t>D5</t>
  </si>
  <si>
    <t>D7</t>
  </si>
  <si>
    <t>D#1</t>
  </si>
  <si>
    <t>D#3</t>
  </si>
  <si>
    <t>D#5</t>
  </si>
  <si>
    <t>D#7</t>
  </si>
  <si>
    <t>E1</t>
  </si>
  <si>
    <t>E3</t>
  </si>
  <si>
    <t>E5</t>
  </si>
  <si>
    <t>E7</t>
  </si>
  <si>
    <t>F1</t>
  </si>
  <si>
    <t>F3</t>
  </si>
  <si>
    <t>F5</t>
  </si>
  <si>
    <t>F7</t>
  </si>
  <si>
    <t>F#1</t>
  </si>
  <si>
    <t>F#3</t>
  </si>
  <si>
    <t>F#5</t>
  </si>
  <si>
    <t>F#7</t>
  </si>
  <si>
    <t>G1</t>
  </si>
  <si>
    <t>G3</t>
  </si>
  <si>
    <t>G5</t>
  </si>
  <si>
    <t>G7</t>
  </si>
  <si>
    <t>G#1</t>
  </si>
  <si>
    <t>G#3</t>
  </si>
  <si>
    <t>G#5</t>
  </si>
  <si>
    <t>G#7</t>
  </si>
  <si>
    <t>A1</t>
  </si>
  <si>
    <t>A3</t>
  </si>
  <si>
    <t>A5</t>
  </si>
  <si>
    <t>A7</t>
  </si>
  <si>
    <t>A#1</t>
  </si>
  <si>
    <t>A#3</t>
  </si>
  <si>
    <t>A#5</t>
  </si>
  <si>
    <t>A#7</t>
  </si>
  <si>
    <t>B1</t>
  </si>
  <si>
    <t>B3</t>
  </si>
  <si>
    <t>B5</t>
  </si>
  <si>
    <t>B7</t>
  </si>
  <si>
    <t>C2</t>
  </si>
  <si>
    <t>C4</t>
  </si>
  <si>
    <t>C6</t>
  </si>
  <si>
    <t>C8</t>
  </si>
  <si>
    <t>C#2</t>
  </si>
  <si>
    <t>C#4</t>
  </si>
  <si>
    <t>C#6</t>
  </si>
  <si>
    <t>C#8</t>
  </si>
  <si>
    <t>D2</t>
  </si>
  <si>
    <t>D4</t>
  </si>
  <si>
    <t>D6</t>
  </si>
  <si>
    <t>D8</t>
  </si>
  <si>
    <t>D#2</t>
  </si>
  <si>
    <t>D#4</t>
  </si>
  <si>
    <t>D#6</t>
  </si>
  <si>
    <t>D#8</t>
  </si>
  <si>
    <t>E2</t>
  </si>
  <si>
    <t>E4</t>
  </si>
  <si>
    <t>E6</t>
  </si>
  <si>
    <t>E8</t>
  </si>
  <si>
    <t>F2</t>
  </si>
  <si>
    <t>F4</t>
  </si>
  <si>
    <t>F6</t>
  </si>
  <si>
    <t>F8</t>
  </si>
  <si>
    <t>F#2</t>
  </si>
  <si>
    <t>F#4</t>
  </si>
  <si>
    <t>F#6</t>
  </si>
  <si>
    <t>F#8</t>
  </si>
  <si>
    <t>G2</t>
  </si>
  <si>
    <t>G4</t>
  </si>
  <si>
    <t>G6</t>
  </si>
  <si>
    <t>G8</t>
  </si>
  <si>
    <t>G#2</t>
  </si>
  <si>
    <t>G#4</t>
  </si>
  <si>
    <t>G#6</t>
  </si>
  <si>
    <t>G#8</t>
  </si>
  <si>
    <t>A2</t>
  </si>
  <si>
    <t>A4</t>
  </si>
  <si>
    <t>A6</t>
  </si>
  <si>
    <t>A8</t>
  </si>
  <si>
    <t>A#2</t>
  </si>
  <si>
    <t>A#4</t>
  </si>
  <si>
    <t>A#6</t>
  </si>
  <si>
    <t>A#8</t>
  </si>
  <si>
    <t>B2</t>
  </si>
  <si>
    <t>B4</t>
  </si>
  <si>
    <t>B6</t>
  </si>
  <si>
    <t>B8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</si>
</sst>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2" fontId="2" numFmtId="0" xfId="0" applyBorder="1" applyFont="1"/>
    <xf borderId="0" fillId="0" fontId="2" numFmtId="0" xfId="0" applyFont="1"/>
    <xf borderId="5" fillId="3" fontId="2" numFmtId="0" xfId="0" applyBorder="1" applyFill="1" applyFont="1"/>
    <xf borderId="6" fillId="4" fontId="2" numFmtId="0" xfId="0" applyBorder="1" applyFill="1" applyFont="1"/>
    <xf borderId="7" fillId="4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2" numFmtId="0" xfId="0" applyBorder="1" applyFont="1"/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>
      <c r="B2" s="1">
        <v>255.0</v>
      </c>
      <c r="C2" s="1">
        <v>3.146</v>
      </c>
      <c r="D2" s="1">
        <v>2.722</v>
      </c>
      <c r="H2" s="2" t="s">
        <v>0</v>
      </c>
      <c r="I2" s="3" t="s">
        <v>1</v>
      </c>
      <c r="J2" s="4" t="s">
        <v>2</v>
      </c>
      <c r="L2" s="2" t="s">
        <v>0</v>
      </c>
      <c r="M2" s="3" t="s">
        <v>1</v>
      </c>
      <c r="N2" s="5" t="s">
        <v>2</v>
      </c>
      <c r="P2" s="2" t="s">
        <v>0</v>
      </c>
      <c r="Q2" s="3" t="s">
        <v>1</v>
      </c>
      <c r="R2" s="5" t="s">
        <v>2</v>
      </c>
      <c r="T2" s="2" t="s">
        <v>0</v>
      </c>
      <c r="U2" s="3" t="s">
        <v>1</v>
      </c>
      <c r="V2" s="5" t="s">
        <v>2</v>
      </c>
    </row>
    <row r="3" ht="14.25" customHeight="1">
      <c r="B3" s="1">
        <v>128.0</v>
      </c>
      <c r="C3" s="1">
        <v>1.625</v>
      </c>
      <c r="D3" s="1">
        <v>-0.34</v>
      </c>
      <c r="H3" s="6" t="s">
        <v>3</v>
      </c>
      <c r="I3" s="7">
        <v>0.0</v>
      </c>
      <c r="J3" s="8">
        <v>0.069</v>
      </c>
      <c r="L3" s="6" t="s">
        <v>4</v>
      </c>
      <c r="M3" s="7">
        <v>48.0</v>
      </c>
      <c r="N3" s="9">
        <v>0.641</v>
      </c>
      <c r="P3" s="6" t="s">
        <v>5</v>
      </c>
      <c r="Q3" s="7">
        <v>96.0</v>
      </c>
      <c r="R3" s="9">
        <v>1.217</v>
      </c>
      <c r="T3" s="6" t="s">
        <v>6</v>
      </c>
      <c r="U3" s="7">
        <v>144.0</v>
      </c>
      <c r="V3" s="10">
        <f>R49+0.024</f>
        <v>1.792</v>
      </c>
    </row>
    <row r="4" ht="14.25" customHeight="1">
      <c r="B4" s="1">
        <v>0.0</v>
      </c>
      <c r="C4" s="1">
        <v>0.069</v>
      </c>
      <c r="D4" s="1">
        <v>-1.488</v>
      </c>
      <c r="H4" s="6"/>
      <c r="I4" s="7">
        <v>1.0</v>
      </c>
      <c r="J4" s="6"/>
      <c r="L4" s="6"/>
      <c r="M4" s="7">
        <v>49.0</v>
      </c>
      <c r="N4" s="10"/>
      <c r="P4" s="6"/>
      <c r="Q4" s="7">
        <v>97.0</v>
      </c>
      <c r="R4" s="10"/>
      <c r="T4" s="6"/>
      <c r="U4" s="7">
        <v>145.0</v>
      </c>
      <c r="V4" s="10"/>
    </row>
    <row r="5" ht="14.25" customHeight="1">
      <c r="H5" s="6" t="s">
        <v>7</v>
      </c>
      <c r="I5" s="7">
        <v>2.0</v>
      </c>
      <c r="J5" s="8">
        <v>0.092</v>
      </c>
      <c r="L5" s="6" t="s">
        <v>8</v>
      </c>
      <c r="M5" s="7">
        <v>50.0</v>
      </c>
      <c r="N5" s="10">
        <f>N3+0.024</f>
        <v>0.665</v>
      </c>
      <c r="P5" s="6" t="s">
        <v>9</v>
      </c>
      <c r="Q5" s="7">
        <v>98.0</v>
      </c>
      <c r="R5" s="10">
        <f>R3+0.024</f>
        <v>1.241</v>
      </c>
      <c r="T5" s="6" t="s">
        <v>10</v>
      </c>
      <c r="U5" s="7">
        <v>146.0</v>
      </c>
      <c r="V5" s="10">
        <f>V3+0.024</f>
        <v>1.816</v>
      </c>
    </row>
    <row r="6" ht="14.25" customHeight="1">
      <c r="B6" s="1">
        <v>0.0</v>
      </c>
      <c r="C6" s="1">
        <v>0.069</v>
      </c>
      <c r="D6" s="1">
        <v>-0.001</v>
      </c>
      <c r="H6" s="6"/>
      <c r="I6" s="7">
        <v>3.0</v>
      </c>
      <c r="J6" s="6"/>
      <c r="L6" s="6"/>
      <c r="M6" s="7">
        <v>51.0</v>
      </c>
      <c r="N6" s="10"/>
      <c r="P6" s="6"/>
      <c r="Q6" s="7">
        <v>99.0</v>
      </c>
      <c r="R6" s="10"/>
      <c r="T6" s="6"/>
      <c r="U6" s="7">
        <v>147.0</v>
      </c>
      <c r="V6" s="10"/>
    </row>
    <row r="7" ht="14.25" customHeight="1">
      <c r="B7" s="1">
        <v>32.0</v>
      </c>
      <c r="C7" s="1">
        <v>0.449</v>
      </c>
      <c r="D7" s="1">
        <v>-1.141</v>
      </c>
      <c r="H7" s="6" t="s">
        <v>11</v>
      </c>
      <c r="I7" s="7">
        <v>4.0</v>
      </c>
      <c r="J7" s="8">
        <v>0.115</v>
      </c>
      <c r="L7" s="6" t="s">
        <v>12</v>
      </c>
      <c r="M7" s="7">
        <v>52.0</v>
      </c>
      <c r="N7" s="10">
        <f>N5+0.024</f>
        <v>0.689</v>
      </c>
      <c r="P7" s="6" t="s">
        <v>13</v>
      </c>
      <c r="Q7" s="7">
        <v>100.0</v>
      </c>
      <c r="R7" s="10">
        <f>R5+0.024</f>
        <v>1.265</v>
      </c>
      <c r="T7" s="6" t="s">
        <v>14</v>
      </c>
      <c r="U7" s="7">
        <v>148.0</v>
      </c>
      <c r="V7" s="10">
        <f>V5+0.024</f>
        <v>1.84</v>
      </c>
    </row>
    <row r="8" ht="14.25" customHeight="1">
      <c r="B8" s="1">
        <v>64.0</v>
      </c>
      <c r="C8" s="1">
        <v>0.834</v>
      </c>
      <c r="D8" s="1">
        <v>-2.297</v>
      </c>
      <c r="H8" s="6"/>
      <c r="I8" s="7">
        <v>5.0</v>
      </c>
      <c r="J8" s="6"/>
      <c r="L8" s="6"/>
      <c r="M8" s="7">
        <v>53.0</v>
      </c>
      <c r="N8" s="10"/>
      <c r="P8" s="6"/>
      <c r="Q8" s="7">
        <v>101.0</v>
      </c>
      <c r="R8" s="10"/>
      <c r="T8" s="6"/>
      <c r="U8" s="7">
        <v>149.0</v>
      </c>
      <c r="V8" s="10"/>
    </row>
    <row r="9" ht="14.25" customHeight="1">
      <c r="B9" s="1">
        <v>96.0</v>
      </c>
      <c r="C9" s="1">
        <v>1.217</v>
      </c>
      <c r="D9" s="1">
        <v>-3.447</v>
      </c>
      <c r="H9" s="6" t="s">
        <v>15</v>
      </c>
      <c r="I9" s="7">
        <v>6.0</v>
      </c>
      <c r="J9" s="8">
        <v>0.139</v>
      </c>
      <c r="L9" s="6" t="s">
        <v>16</v>
      </c>
      <c r="M9" s="7">
        <v>54.0</v>
      </c>
      <c r="N9" s="10">
        <f>N7+0.024</f>
        <v>0.713</v>
      </c>
      <c r="P9" s="6" t="s">
        <v>17</v>
      </c>
      <c r="Q9" s="7">
        <v>102.0</v>
      </c>
      <c r="R9" s="10">
        <f>R7+0.024</f>
        <v>1.289</v>
      </c>
      <c r="T9" s="6" t="s">
        <v>18</v>
      </c>
      <c r="U9" s="7">
        <v>150.0</v>
      </c>
      <c r="V9" s="10">
        <f>V7+0.024</f>
        <v>1.864</v>
      </c>
    </row>
    <row r="10" ht="14.25" customHeight="1">
      <c r="B10" s="1">
        <v>128.0</v>
      </c>
      <c r="C10" s="1">
        <v>1.624</v>
      </c>
      <c r="D10" s="1">
        <v>-4.67</v>
      </c>
      <c r="H10" s="6"/>
      <c r="I10" s="7">
        <v>7.0</v>
      </c>
      <c r="J10" s="6"/>
      <c r="L10" s="6"/>
      <c r="M10" s="7">
        <v>55.0</v>
      </c>
      <c r="N10" s="10"/>
      <c r="P10" s="6"/>
      <c r="Q10" s="7">
        <v>103.0</v>
      </c>
      <c r="R10" s="10"/>
      <c r="T10" s="6"/>
      <c r="U10" s="7">
        <v>151.0</v>
      </c>
      <c r="V10" s="10"/>
    </row>
    <row r="11" ht="14.25" customHeight="1">
      <c r="B11" s="1">
        <v>156.0</v>
      </c>
      <c r="C11" s="1">
        <v>1.958</v>
      </c>
      <c r="D11" s="1">
        <v>-5.673</v>
      </c>
      <c r="H11" s="6" t="s">
        <v>19</v>
      </c>
      <c r="I11" s="7">
        <v>8.0</v>
      </c>
      <c r="J11" s="8">
        <v>0.162</v>
      </c>
      <c r="L11" s="6" t="s">
        <v>20</v>
      </c>
      <c r="M11" s="7">
        <v>56.0</v>
      </c>
      <c r="N11" s="10">
        <f>N9+0.024</f>
        <v>0.737</v>
      </c>
      <c r="P11" s="6" t="s">
        <v>21</v>
      </c>
      <c r="Q11" s="7">
        <v>104.0</v>
      </c>
      <c r="R11" s="10">
        <f>R9+0.024</f>
        <v>1.313</v>
      </c>
      <c r="T11" s="6" t="s">
        <v>22</v>
      </c>
      <c r="U11" s="7">
        <v>152.0</v>
      </c>
      <c r="V11" s="10">
        <f>V9+0.024</f>
        <v>1.888</v>
      </c>
    </row>
    <row r="12" ht="14.25" customHeight="1">
      <c r="B12" s="1">
        <v>160.0</v>
      </c>
      <c r="C12" s="1">
        <v>2.007</v>
      </c>
      <c r="D12" s="1">
        <v>-5.82</v>
      </c>
      <c r="H12" s="6"/>
      <c r="I12" s="7">
        <v>9.0</v>
      </c>
      <c r="J12" s="6"/>
      <c r="L12" s="6"/>
      <c r="M12" s="7">
        <v>57.0</v>
      </c>
      <c r="N12" s="10"/>
      <c r="P12" s="6"/>
      <c r="Q12" s="7">
        <v>105.0</v>
      </c>
      <c r="R12" s="10"/>
      <c r="T12" s="6"/>
      <c r="U12" s="7">
        <v>153.0</v>
      </c>
      <c r="V12" s="10"/>
    </row>
    <row r="13" ht="14.25" customHeight="1">
      <c r="B13" s="1">
        <v>192.0</v>
      </c>
      <c r="C13" s="1">
        <v>2.392</v>
      </c>
      <c r="D13" s="1">
        <v>-6.97</v>
      </c>
      <c r="H13" s="6" t="s">
        <v>23</v>
      </c>
      <c r="I13" s="7">
        <v>10.0</v>
      </c>
      <c r="J13" s="6">
        <f>J11+0.024</f>
        <v>0.186</v>
      </c>
      <c r="L13" s="6" t="s">
        <v>24</v>
      </c>
      <c r="M13" s="7">
        <v>58.0</v>
      </c>
      <c r="N13" s="10">
        <f>N11+0.024</f>
        <v>0.761</v>
      </c>
      <c r="P13" s="6" t="s">
        <v>25</v>
      </c>
      <c r="Q13" s="7">
        <v>106.0</v>
      </c>
      <c r="R13" s="10">
        <f>R11+0.024</f>
        <v>1.337</v>
      </c>
      <c r="T13" s="6" t="s">
        <v>26</v>
      </c>
      <c r="U13" s="7">
        <v>154.0</v>
      </c>
      <c r="V13" s="10">
        <f>V11+0.024</f>
        <v>1.912</v>
      </c>
    </row>
    <row r="14" ht="14.25" customHeight="1">
      <c r="B14" s="1">
        <v>196.0</v>
      </c>
      <c r="C14" s="1">
        <v>2.44</v>
      </c>
      <c r="D14" s="1">
        <v>-7.11</v>
      </c>
      <c r="H14" s="6"/>
      <c r="I14" s="7">
        <v>11.0</v>
      </c>
      <c r="J14" s="6"/>
      <c r="L14" s="6"/>
      <c r="M14" s="7">
        <v>59.0</v>
      </c>
      <c r="N14" s="10"/>
      <c r="P14" s="6"/>
      <c r="Q14" s="7">
        <v>107.0</v>
      </c>
      <c r="R14" s="10"/>
      <c r="T14" s="6"/>
      <c r="U14" s="7">
        <v>155.0</v>
      </c>
      <c r="V14" s="10"/>
    </row>
    <row r="15" ht="14.25" customHeight="1">
      <c r="B15" s="1">
        <v>200.0</v>
      </c>
      <c r="C15" s="1">
        <v>2.48</v>
      </c>
      <c r="D15" s="1">
        <v>-7.26</v>
      </c>
      <c r="H15" s="6" t="s">
        <v>27</v>
      </c>
      <c r="I15" s="7">
        <v>12.0</v>
      </c>
      <c r="J15" s="6">
        <f>J13+0.024</f>
        <v>0.21</v>
      </c>
      <c r="L15" s="6" t="s">
        <v>28</v>
      </c>
      <c r="M15" s="7">
        <v>60.0</v>
      </c>
      <c r="N15" s="10">
        <f>N13+0.024</f>
        <v>0.785</v>
      </c>
      <c r="P15" s="6" t="s">
        <v>29</v>
      </c>
      <c r="Q15" s="7">
        <v>108.0</v>
      </c>
      <c r="R15" s="10">
        <f>R13+0.024</f>
        <v>1.361</v>
      </c>
      <c r="T15" s="6" t="s">
        <v>30</v>
      </c>
      <c r="U15" s="7">
        <v>156.0</v>
      </c>
      <c r="V15" s="10">
        <f>V13+0.024</f>
        <v>1.936</v>
      </c>
    </row>
    <row r="16" ht="14.25" customHeight="1">
      <c r="B16" s="1">
        <v>224.0</v>
      </c>
      <c r="C16" s="1">
        <v>2.77</v>
      </c>
      <c r="D16" s="1">
        <v>-8.12</v>
      </c>
      <c r="H16" s="6"/>
      <c r="I16" s="7">
        <v>13.0</v>
      </c>
      <c r="J16" s="6"/>
      <c r="L16" s="6"/>
      <c r="M16" s="7">
        <v>61.0</v>
      </c>
      <c r="N16" s="10"/>
      <c r="P16" s="6"/>
      <c r="Q16" s="7">
        <v>109.0</v>
      </c>
      <c r="R16" s="10"/>
      <c r="T16" s="6"/>
      <c r="U16" s="7">
        <v>157.0</v>
      </c>
      <c r="V16" s="10"/>
    </row>
    <row r="17" ht="14.25" customHeight="1">
      <c r="B17" s="1">
        <v>235.0</v>
      </c>
      <c r="C17" s="1">
        <v>2.9</v>
      </c>
      <c r="D17" s="1">
        <v>-8.23</v>
      </c>
      <c r="H17" s="6" t="s">
        <v>31</v>
      </c>
      <c r="I17" s="7">
        <v>14.0</v>
      </c>
      <c r="J17" s="6">
        <f>J15+0.024</f>
        <v>0.234</v>
      </c>
      <c r="L17" s="6" t="s">
        <v>32</v>
      </c>
      <c r="M17" s="7">
        <v>62.0</v>
      </c>
      <c r="N17" s="10">
        <f>N15+0.024</f>
        <v>0.809</v>
      </c>
      <c r="P17" s="6" t="s">
        <v>33</v>
      </c>
      <c r="Q17" s="7">
        <v>110.0</v>
      </c>
      <c r="R17" s="10">
        <f>R15+0.024</f>
        <v>1.385</v>
      </c>
      <c r="T17" s="6" t="s">
        <v>34</v>
      </c>
      <c r="U17" s="7">
        <v>158.0</v>
      </c>
      <c r="V17" s="9">
        <f>V15+0.024</f>
        <v>1.96</v>
      </c>
    </row>
    <row r="18" ht="14.25" customHeight="1">
      <c r="B18" s="1">
        <v>255.0</v>
      </c>
      <c r="C18" s="1">
        <v>3.14</v>
      </c>
      <c r="D18" s="1">
        <v>-8.22</v>
      </c>
      <c r="H18" s="6"/>
      <c r="I18" s="7">
        <v>15.0</v>
      </c>
      <c r="J18" s="6"/>
      <c r="L18" s="6"/>
      <c r="M18" s="7">
        <v>63.0</v>
      </c>
      <c r="N18" s="10"/>
      <c r="P18" s="6"/>
      <c r="Q18" s="7">
        <v>111.0</v>
      </c>
      <c r="R18" s="10"/>
      <c r="T18" s="6"/>
      <c r="U18" s="7">
        <v>159.0</v>
      </c>
      <c r="V18" s="10"/>
    </row>
    <row r="19" ht="14.25" customHeight="1">
      <c r="H19" s="6" t="s">
        <v>35</v>
      </c>
      <c r="I19" s="7">
        <v>16.0</v>
      </c>
      <c r="J19" s="6">
        <f>J17+0.024</f>
        <v>0.258</v>
      </c>
      <c r="L19" s="6" t="s">
        <v>36</v>
      </c>
      <c r="M19" s="7">
        <v>64.0</v>
      </c>
      <c r="N19" s="9">
        <f>N17+0.024</f>
        <v>0.833</v>
      </c>
      <c r="P19" s="6" t="s">
        <v>37</v>
      </c>
      <c r="Q19" s="7">
        <v>112.0</v>
      </c>
      <c r="R19" s="10">
        <f>R17+0.024</f>
        <v>1.409</v>
      </c>
      <c r="T19" s="6" t="s">
        <v>38</v>
      </c>
      <c r="U19" s="7">
        <v>160.0</v>
      </c>
      <c r="V19" s="10">
        <f>V17+0.024</f>
        <v>1.984</v>
      </c>
    </row>
    <row r="20" ht="14.25" customHeight="1">
      <c r="H20" s="6"/>
      <c r="I20" s="7">
        <v>17.0</v>
      </c>
      <c r="J20" s="6"/>
      <c r="L20" s="6"/>
      <c r="M20" s="7">
        <v>65.0</v>
      </c>
      <c r="N20" s="10"/>
      <c r="P20" s="6"/>
      <c r="Q20" s="7">
        <v>113.0</v>
      </c>
      <c r="R20" s="10"/>
      <c r="T20" s="6"/>
      <c r="U20" s="7">
        <v>161.0</v>
      </c>
      <c r="V20" s="10"/>
    </row>
    <row r="21" ht="14.25" customHeight="1">
      <c r="H21" s="6" t="s">
        <v>39</v>
      </c>
      <c r="I21" s="7">
        <v>18.0</v>
      </c>
      <c r="J21" s="6">
        <f>J19+0.024</f>
        <v>0.282</v>
      </c>
      <c r="L21" s="6" t="s">
        <v>40</v>
      </c>
      <c r="M21" s="7">
        <v>66.0</v>
      </c>
      <c r="N21" s="10">
        <f>N19+0.024</f>
        <v>0.857</v>
      </c>
      <c r="P21" s="6" t="s">
        <v>41</v>
      </c>
      <c r="Q21" s="7">
        <v>114.0</v>
      </c>
      <c r="R21" s="10">
        <f>R19+0.024</f>
        <v>1.433</v>
      </c>
      <c r="T21" s="6" t="s">
        <v>42</v>
      </c>
      <c r="U21" s="7">
        <v>162.0</v>
      </c>
      <c r="V21" s="9">
        <f>V19+0.024</f>
        <v>2.008</v>
      </c>
    </row>
    <row r="22" ht="14.25" customHeight="1">
      <c r="H22" s="6"/>
      <c r="I22" s="7">
        <v>19.0</v>
      </c>
      <c r="J22" s="6"/>
      <c r="L22" s="6"/>
      <c r="M22" s="7">
        <v>67.0</v>
      </c>
      <c r="N22" s="10"/>
      <c r="P22" s="6"/>
      <c r="Q22" s="7">
        <v>115.0</v>
      </c>
      <c r="R22" s="10"/>
      <c r="T22" s="6"/>
      <c r="U22" s="7">
        <v>163.0</v>
      </c>
      <c r="V22" s="10"/>
    </row>
    <row r="23" ht="14.25" customHeight="1">
      <c r="H23" s="6" t="s">
        <v>43</v>
      </c>
      <c r="I23" s="7">
        <v>20.0</v>
      </c>
      <c r="J23" s="6">
        <f>J21+0.024</f>
        <v>0.306</v>
      </c>
      <c r="L23" s="6" t="s">
        <v>44</v>
      </c>
      <c r="M23" s="7">
        <v>68.0</v>
      </c>
      <c r="N23" s="10">
        <f>N21+0.024</f>
        <v>0.881</v>
      </c>
      <c r="P23" s="6" t="s">
        <v>45</v>
      </c>
      <c r="Q23" s="7">
        <v>116.0</v>
      </c>
      <c r="R23" s="10">
        <f>R21+0.024</f>
        <v>1.457</v>
      </c>
      <c r="T23" s="6" t="s">
        <v>46</v>
      </c>
      <c r="U23" s="7">
        <v>164.0</v>
      </c>
      <c r="V23" s="10">
        <f>V21+0.024</f>
        <v>2.032</v>
      </c>
    </row>
    <row r="24" ht="14.25" customHeight="1">
      <c r="H24" s="6"/>
      <c r="I24" s="7">
        <v>21.0</v>
      </c>
      <c r="J24" s="6"/>
      <c r="L24" s="6"/>
      <c r="M24" s="7">
        <v>69.0</v>
      </c>
      <c r="N24" s="10"/>
      <c r="P24" s="6"/>
      <c r="Q24" s="7">
        <v>117.0</v>
      </c>
      <c r="R24" s="10"/>
      <c r="T24" s="6"/>
      <c r="U24" s="7">
        <v>165.0</v>
      </c>
      <c r="V24" s="10"/>
    </row>
    <row r="25" ht="14.25" customHeight="1">
      <c r="H25" s="6" t="s">
        <v>47</v>
      </c>
      <c r="I25" s="7">
        <v>22.0</v>
      </c>
      <c r="J25" s="6">
        <f>J23+0.024</f>
        <v>0.33</v>
      </c>
      <c r="L25" s="6" t="s">
        <v>48</v>
      </c>
      <c r="M25" s="7">
        <v>70.0</v>
      </c>
      <c r="N25" s="10">
        <f>N23+0.024</f>
        <v>0.905</v>
      </c>
      <c r="P25" s="6" t="s">
        <v>49</v>
      </c>
      <c r="Q25" s="7">
        <v>118.0</v>
      </c>
      <c r="R25" s="10">
        <f>R23+0.024</f>
        <v>1.481</v>
      </c>
      <c r="T25" s="6" t="s">
        <v>50</v>
      </c>
      <c r="U25" s="7">
        <v>166.0</v>
      </c>
      <c r="V25" s="10">
        <f>V23+0.024</f>
        <v>2.056</v>
      </c>
    </row>
    <row r="26" ht="14.25" customHeight="1">
      <c r="H26" s="6"/>
      <c r="I26" s="7">
        <v>23.0</v>
      </c>
      <c r="J26" s="6"/>
      <c r="L26" s="6"/>
      <c r="M26" s="7">
        <v>71.0</v>
      </c>
      <c r="N26" s="10"/>
      <c r="P26" s="6"/>
      <c r="Q26" s="7">
        <v>119.0</v>
      </c>
      <c r="R26" s="10"/>
      <c r="T26" s="6"/>
      <c r="U26" s="7">
        <v>167.0</v>
      </c>
      <c r="V26" s="10"/>
    </row>
    <row r="27" ht="14.25" customHeight="1">
      <c r="H27" s="6" t="s">
        <v>51</v>
      </c>
      <c r="I27" s="7">
        <v>24.0</v>
      </c>
      <c r="J27" s="8">
        <v>0.353</v>
      </c>
      <c r="L27" s="6" t="s">
        <v>52</v>
      </c>
      <c r="M27" s="7">
        <v>72.0</v>
      </c>
      <c r="N27" s="9">
        <v>0.93</v>
      </c>
      <c r="P27" s="6" t="s">
        <v>53</v>
      </c>
      <c r="Q27" s="7">
        <v>120.0</v>
      </c>
      <c r="R27" s="9">
        <v>1.504</v>
      </c>
      <c r="T27" s="6" t="s">
        <v>54</v>
      </c>
      <c r="U27" s="7">
        <v>168.0</v>
      </c>
      <c r="V27" s="10">
        <f>V25+0.024</f>
        <v>2.08</v>
      </c>
    </row>
    <row r="28" ht="14.25" customHeight="1">
      <c r="H28" s="6"/>
      <c r="I28" s="7">
        <v>25.0</v>
      </c>
      <c r="J28" s="6"/>
      <c r="L28" s="6"/>
      <c r="M28" s="7">
        <v>73.0</v>
      </c>
      <c r="N28" s="10"/>
      <c r="P28" s="6"/>
      <c r="Q28" s="7">
        <v>121.0</v>
      </c>
      <c r="R28" s="10"/>
      <c r="T28" s="6"/>
      <c r="U28" s="7">
        <v>169.0</v>
      </c>
      <c r="V28" s="10"/>
    </row>
    <row r="29" ht="14.25" customHeight="1">
      <c r="H29" s="6" t="s">
        <v>55</v>
      </c>
      <c r="I29" s="7">
        <v>26.0</v>
      </c>
      <c r="J29" s="6">
        <f>J27+0.024</f>
        <v>0.377</v>
      </c>
      <c r="L29" s="6" t="s">
        <v>56</v>
      </c>
      <c r="M29" s="7">
        <v>74.0</v>
      </c>
      <c r="N29" s="10">
        <f>N27+0.024</f>
        <v>0.954</v>
      </c>
      <c r="P29" s="6" t="s">
        <v>57</v>
      </c>
      <c r="Q29" s="7">
        <v>122.0</v>
      </c>
      <c r="R29" s="10">
        <f>R27+0.024</f>
        <v>1.528</v>
      </c>
      <c r="T29" s="6" t="s">
        <v>58</v>
      </c>
      <c r="U29" s="7">
        <v>170.0</v>
      </c>
      <c r="V29" s="10">
        <f>V27+0.024</f>
        <v>2.104</v>
      </c>
    </row>
    <row r="30" ht="14.25" customHeight="1">
      <c r="H30" s="6"/>
      <c r="I30" s="7">
        <v>27.0</v>
      </c>
      <c r="J30" s="6"/>
      <c r="L30" s="6"/>
      <c r="M30" s="7">
        <v>75.0</v>
      </c>
      <c r="N30" s="10"/>
      <c r="P30" s="6"/>
      <c r="Q30" s="7">
        <v>123.0</v>
      </c>
      <c r="R30" s="10"/>
      <c r="T30" s="6"/>
      <c r="U30" s="7">
        <v>171.0</v>
      </c>
      <c r="V30" s="10"/>
    </row>
    <row r="31" ht="14.25" customHeight="1">
      <c r="H31" s="6" t="s">
        <v>59</v>
      </c>
      <c r="I31" s="7">
        <v>28.0</v>
      </c>
      <c r="J31" s="6">
        <f>J29+0.024</f>
        <v>0.401</v>
      </c>
      <c r="L31" s="6" t="s">
        <v>60</v>
      </c>
      <c r="M31" s="7">
        <v>76.0</v>
      </c>
      <c r="N31" s="10">
        <f>N29+0.024</f>
        <v>0.978</v>
      </c>
      <c r="P31" s="6" t="s">
        <v>61</v>
      </c>
      <c r="Q31" s="7">
        <v>124.0</v>
      </c>
      <c r="R31" s="10">
        <f>R29+0.024</f>
        <v>1.552</v>
      </c>
      <c r="T31" s="6" t="s">
        <v>62</v>
      </c>
      <c r="U31" s="7">
        <v>172.0</v>
      </c>
      <c r="V31" s="10">
        <f>V29+0.024</f>
        <v>2.128</v>
      </c>
    </row>
    <row r="32" ht="14.25" customHeight="1">
      <c r="H32" s="6"/>
      <c r="I32" s="7">
        <v>29.0</v>
      </c>
      <c r="J32" s="6"/>
      <c r="L32" s="6"/>
      <c r="M32" s="7">
        <v>77.0</v>
      </c>
      <c r="N32" s="10"/>
      <c r="P32" s="6"/>
      <c r="Q32" s="7">
        <v>125.0</v>
      </c>
      <c r="R32" s="10"/>
      <c r="T32" s="6"/>
      <c r="U32" s="7">
        <v>173.0</v>
      </c>
      <c r="V32" s="10"/>
    </row>
    <row r="33" ht="14.25" customHeight="1">
      <c r="H33" s="6" t="s">
        <v>63</v>
      </c>
      <c r="I33" s="7">
        <v>30.0</v>
      </c>
      <c r="J33" s="6">
        <f>J31+0.024</f>
        <v>0.425</v>
      </c>
      <c r="L33" s="6" t="s">
        <v>64</v>
      </c>
      <c r="M33" s="7">
        <v>78.0</v>
      </c>
      <c r="N33" s="10">
        <f>N31+0.024</f>
        <v>1.002</v>
      </c>
      <c r="P33" s="6" t="s">
        <v>65</v>
      </c>
      <c r="Q33" s="7">
        <v>126.0</v>
      </c>
      <c r="R33" s="10">
        <f>R31+0.024</f>
        <v>1.576</v>
      </c>
      <c r="T33" s="6" t="s">
        <v>66</v>
      </c>
      <c r="U33" s="7">
        <v>174.0</v>
      </c>
      <c r="V33" s="10">
        <f>V31+0.024</f>
        <v>2.152</v>
      </c>
    </row>
    <row r="34" ht="14.25" customHeight="1">
      <c r="H34" s="6"/>
      <c r="I34" s="7">
        <v>31.0</v>
      </c>
      <c r="J34" s="6"/>
      <c r="L34" s="6"/>
      <c r="M34" s="7">
        <v>79.0</v>
      </c>
      <c r="N34" s="10"/>
      <c r="P34" s="6"/>
      <c r="Q34" s="7">
        <v>127.0</v>
      </c>
      <c r="R34" s="10"/>
      <c r="T34" s="6"/>
      <c r="U34" s="7">
        <v>175.0</v>
      </c>
      <c r="V34" s="10"/>
    </row>
    <row r="35" ht="14.25" customHeight="1">
      <c r="H35" s="6" t="s">
        <v>67</v>
      </c>
      <c r="I35" s="7">
        <v>32.0</v>
      </c>
      <c r="J35" s="8">
        <f>J33+0.024</f>
        <v>0.449</v>
      </c>
      <c r="L35" s="6" t="s">
        <v>68</v>
      </c>
      <c r="M35" s="7">
        <v>80.0</v>
      </c>
      <c r="N35" s="10">
        <f>N33+0.024</f>
        <v>1.026</v>
      </c>
      <c r="P35" s="6" t="s">
        <v>69</v>
      </c>
      <c r="Q35" s="7">
        <v>128.0</v>
      </c>
      <c r="R35" s="10">
        <f>R33+0.024</f>
        <v>1.6</v>
      </c>
      <c r="T35" s="6" t="s">
        <v>70</v>
      </c>
      <c r="U35" s="7">
        <v>176.0</v>
      </c>
      <c r="V35" s="10">
        <f>V33+0.024</f>
        <v>2.176</v>
      </c>
    </row>
    <row r="36" ht="14.25" customHeight="1">
      <c r="H36" s="6"/>
      <c r="I36" s="7">
        <v>33.0</v>
      </c>
      <c r="J36" s="6"/>
      <c r="L36" s="6"/>
      <c r="M36" s="7">
        <v>81.0</v>
      </c>
      <c r="N36" s="10"/>
      <c r="P36" s="6"/>
      <c r="Q36" s="7">
        <v>129.0</v>
      </c>
      <c r="R36" s="10"/>
      <c r="T36" s="6"/>
      <c r="U36" s="7">
        <v>177.0</v>
      </c>
      <c r="V36" s="10"/>
    </row>
    <row r="37" ht="14.25" customHeight="1">
      <c r="H37" s="6" t="s">
        <v>71</v>
      </c>
      <c r="I37" s="7">
        <v>34.0</v>
      </c>
      <c r="J37" s="6">
        <f>J35+0.024</f>
        <v>0.473</v>
      </c>
      <c r="L37" s="6" t="s">
        <v>72</v>
      </c>
      <c r="M37" s="7">
        <v>82.0</v>
      </c>
      <c r="N37" s="10">
        <f>N35+0.024</f>
        <v>1.05</v>
      </c>
      <c r="P37" s="6" t="s">
        <v>73</v>
      </c>
      <c r="Q37" s="7">
        <v>130.0</v>
      </c>
      <c r="R37" s="9">
        <f>R35+0.024</f>
        <v>1.624</v>
      </c>
      <c r="T37" s="6" t="s">
        <v>74</v>
      </c>
      <c r="U37" s="7">
        <v>178.0</v>
      </c>
      <c r="V37" s="10">
        <f>V35+0.024</f>
        <v>2.2</v>
      </c>
    </row>
    <row r="38" ht="14.25" customHeight="1">
      <c r="H38" s="6"/>
      <c r="I38" s="7">
        <v>35.0</v>
      </c>
      <c r="J38" s="6"/>
      <c r="L38" s="6"/>
      <c r="M38" s="7">
        <v>83.0</v>
      </c>
      <c r="N38" s="10"/>
      <c r="P38" s="6"/>
      <c r="Q38" s="7">
        <v>131.0</v>
      </c>
      <c r="R38" s="10"/>
      <c r="T38" s="6"/>
      <c r="U38" s="7">
        <v>179.0</v>
      </c>
      <c r="V38" s="10"/>
    </row>
    <row r="39" ht="14.25" customHeight="1">
      <c r="H39" s="6" t="s">
        <v>75</v>
      </c>
      <c r="I39" s="7">
        <v>36.0</v>
      </c>
      <c r="J39" s="6">
        <f>J37+0.024</f>
        <v>0.497</v>
      </c>
      <c r="L39" s="6" t="s">
        <v>76</v>
      </c>
      <c r="M39" s="7">
        <v>84.0</v>
      </c>
      <c r="N39" s="10">
        <f>N37+0.024</f>
        <v>1.074</v>
      </c>
      <c r="P39" s="6" t="s">
        <v>77</v>
      </c>
      <c r="Q39" s="7">
        <v>132.0</v>
      </c>
      <c r="R39" s="10">
        <f>R37+0.024</f>
        <v>1.648</v>
      </c>
      <c r="T39" s="6" t="s">
        <v>78</v>
      </c>
      <c r="U39" s="7">
        <v>180.0</v>
      </c>
      <c r="V39" s="10">
        <f>V37+0.024</f>
        <v>2.224</v>
      </c>
    </row>
    <row r="40" ht="14.25" customHeight="1">
      <c r="H40" s="6"/>
      <c r="I40" s="7">
        <v>37.0</v>
      </c>
      <c r="J40" s="6"/>
      <c r="L40" s="6"/>
      <c r="M40" s="7">
        <v>85.0</v>
      </c>
      <c r="N40" s="10"/>
      <c r="P40" s="6"/>
      <c r="Q40" s="7">
        <v>133.0</v>
      </c>
      <c r="R40" s="10"/>
      <c r="T40" s="6"/>
      <c r="U40" s="7">
        <v>181.0</v>
      </c>
      <c r="V40" s="10"/>
    </row>
    <row r="41" ht="14.25" customHeight="1">
      <c r="H41" s="6" t="s">
        <v>79</v>
      </c>
      <c r="I41" s="7">
        <v>38.0</v>
      </c>
      <c r="J41" s="6">
        <f>J39+0.024</f>
        <v>0.521</v>
      </c>
      <c r="L41" s="6" t="s">
        <v>80</v>
      </c>
      <c r="M41" s="7">
        <v>86.0</v>
      </c>
      <c r="N41" s="10">
        <f>N39+0.024</f>
        <v>1.098</v>
      </c>
      <c r="P41" s="6" t="s">
        <v>81</v>
      </c>
      <c r="Q41" s="7">
        <v>134.0</v>
      </c>
      <c r="R41" s="10">
        <f>R39+0.024</f>
        <v>1.672</v>
      </c>
      <c r="T41" s="6" t="s">
        <v>82</v>
      </c>
      <c r="U41" s="7">
        <v>182.0</v>
      </c>
      <c r="V41" s="10">
        <f>V39+0.024</f>
        <v>2.248</v>
      </c>
    </row>
    <row r="42" ht="14.25" customHeight="1">
      <c r="H42" s="6"/>
      <c r="I42" s="7">
        <v>39.0</v>
      </c>
      <c r="J42" s="6"/>
      <c r="L42" s="6"/>
      <c r="M42" s="7">
        <v>87.0</v>
      </c>
      <c r="N42" s="10"/>
      <c r="P42" s="6"/>
      <c r="Q42" s="7">
        <v>135.0</v>
      </c>
      <c r="R42" s="10"/>
      <c r="T42" s="6"/>
      <c r="U42" s="7">
        <v>183.0</v>
      </c>
      <c r="V42" s="10"/>
    </row>
    <row r="43" ht="14.25" customHeight="1">
      <c r="H43" s="6" t="s">
        <v>83</v>
      </c>
      <c r="I43" s="7">
        <v>40.0</v>
      </c>
      <c r="J43" s="6">
        <f>J41+0.024</f>
        <v>0.545</v>
      </c>
      <c r="L43" s="6" t="s">
        <v>84</v>
      </c>
      <c r="M43" s="7">
        <v>88.0</v>
      </c>
      <c r="N43" s="10">
        <f>N41+0.024</f>
        <v>1.122</v>
      </c>
      <c r="P43" s="6" t="s">
        <v>85</v>
      </c>
      <c r="Q43" s="7">
        <v>136.0</v>
      </c>
      <c r="R43" s="10">
        <f>R41+0.024</f>
        <v>1.696</v>
      </c>
      <c r="T43" s="6" t="s">
        <v>86</v>
      </c>
      <c r="U43" s="7">
        <v>184.0</v>
      </c>
      <c r="V43" s="10">
        <f>V41+0.024</f>
        <v>2.272</v>
      </c>
    </row>
    <row r="44" ht="14.25" customHeight="1">
      <c r="H44" s="6"/>
      <c r="I44" s="7">
        <v>41.0</v>
      </c>
      <c r="J44" s="6"/>
      <c r="L44" s="6"/>
      <c r="M44" s="7">
        <v>89.0</v>
      </c>
      <c r="N44" s="10"/>
      <c r="P44" s="6"/>
      <c r="Q44" s="7">
        <v>137.0</v>
      </c>
      <c r="R44" s="10"/>
      <c r="T44" s="6"/>
      <c r="U44" s="7">
        <v>185.0</v>
      </c>
      <c r="V44" s="10"/>
    </row>
    <row r="45" ht="14.25" customHeight="1">
      <c r="H45" s="6" t="s">
        <v>87</v>
      </c>
      <c r="I45" s="7">
        <v>42.0</v>
      </c>
      <c r="J45" s="6">
        <f>J43+0.024</f>
        <v>0.569</v>
      </c>
      <c r="L45" s="6" t="s">
        <v>88</v>
      </c>
      <c r="M45" s="7">
        <v>90.0</v>
      </c>
      <c r="N45" s="10">
        <f>N43+0.024</f>
        <v>1.146</v>
      </c>
      <c r="P45" s="6" t="s">
        <v>89</v>
      </c>
      <c r="Q45" s="7">
        <v>138.0</v>
      </c>
      <c r="R45" s="10">
        <f>R43+0.024</f>
        <v>1.72</v>
      </c>
      <c r="T45" s="6" t="s">
        <v>90</v>
      </c>
      <c r="U45" s="7">
        <v>186.0</v>
      </c>
      <c r="V45" s="10">
        <f>V43+0.024</f>
        <v>2.296</v>
      </c>
    </row>
    <row r="46" ht="14.25" customHeight="1">
      <c r="H46" s="6"/>
      <c r="I46" s="7">
        <v>43.0</v>
      </c>
      <c r="J46" s="6"/>
      <c r="L46" s="6"/>
      <c r="M46" s="7">
        <v>91.0</v>
      </c>
      <c r="N46" s="10"/>
      <c r="P46" s="6"/>
      <c r="Q46" s="7">
        <v>139.0</v>
      </c>
      <c r="R46" s="10"/>
      <c r="T46" s="6"/>
      <c r="U46" s="7">
        <v>187.0</v>
      </c>
      <c r="V46" s="10"/>
    </row>
    <row r="47" ht="14.25" customHeight="1">
      <c r="H47" s="6" t="s">
        <v>91</v>
      </c>
      <c r="I47" s="7">
        <v>44.0</v>
      </c>
      <c r="J47" s="6">
        <f>J45+0.024</f>
        <v>0.593</v>
      </c>
      <c r="L47" s="6" t="s">
        <v>92</v>
      </c>
      <c r="M47" s="7">
        <v>92.0</v>
      </c>
      <c r="N47" s="10">
        <f>N45+0.024</f>
        <v>1.17</v>
      </c>
      <c r="P47" s="6" t="s">
        <v>93</v>
      </c>
      <c r="Q47" s="7">
        <v>140.0</v>
      </c>
      <c r="R47" s="10">
        <f>R45+0.024</f>
        <v>1.744</v>
      </c>
      <c r="T47" s="6" t="s">
        <v>94</v>
      </c>
      <c r="U47" s="7">
        <v>188.0</v>
      </c>
      <c r="V47" s="10">
        <f>V45+0.024</f>
        <v>2.32</v>
      </c>
    </row>
    <row r="48" ht="14.25" customHeight="1">
      <c r="H48" s="6"/>
      <c r="I48" s="7">
        <v>45.0</v>
      </c>
      <c r="J48" s="6"/>
      <c r="L48" s="6"/>
      <c r="M48" s="7">
        <v>93.0</v>
      </c>
      <c r="N48" s="10"/>
      <c r="P48" s="6"/>
      <c r="Q48" s="7">
        <v>141.0</v>
      </c>
      <c r="R48" s="10"/>
      <c r="T48" s="6"/>
      <c r="U48" s="7">
        <v>189.0</v>
      </c>
      <c r="V48" s="10"/>
    </row>
    <row r="49" ht="14.25" customHeight="1">
      <c r="H49" s="6" t="s">
        <v>95</v>
      </c>
      <c r="I49" s="7">
        <v>46.0</v>
      </c>
      <c r="J49" s="6">
        <f>J47+0.024</f>
        <v>0.617</v>
      </c>
      <c r="L49" s="6" t="s">
        <v>96</v>
      </c>
      <c r="M49" s="7">
        <v>94.0</v>
      </c>
      <c r="N49" s="10">
        <f>N47+0.024</f>
        <v>1.194</v>
      </c>
      <c r="P49" s="6" t="s">
        <v>97</v>
      </c>
      <c r="Q49" s="7">
        <v>142.0</v>
      </c>
      <c r="R49" s="10">
        <f>R47+0.024</f>
        <v>1.768</v>
      </c>
      <c r="T49" s="6" t="s">
        <v>98</v>
      </c>
      <c r="U49" s="7">
        <v>190.0</v>
      </c>
      <c r="V49" s="10">
        <f>V47+0.024</f>
        <v>2.344</v>
      </c>
    </row>
    <row r="50" ht="14.25" customHeight="1">
      <c r="H50" s="11"/>
      <c r="I50" s="12">
        <v>47.0</v>
      </c>
      <c r="J50" s="11"/>
      <c r="L50" s="11"/>
      <c r="M50" s="12">
        <v>95.0</v>
      </c>
      <c r="N50" s="13"/>
      <c r="P50" s="11"/>
      <c r="Q50" s="12">
        <v>143.0</v>
      </c>
      <c r="R50" s="13"/>
      <c r="T50" s="11"/>
      <c r="U50" s="12">
        <v>191.0</v>
      </c>
      <c r="V50" s="13"/>
    </row>
    <row r="51" ht="14.25" customHeight="1"/>
    <row r="52" ht="14.25" customHeight="1"/>
    <row r="53" ht="14.25" customHeight="1"/>
    <row r="54" ht="14.25" customHeight="1"/>
    <row r="55" ht="14.25" customHeight="1">
      <c r="H55" s="2" t="s">
        <v>0</v>
      </c>
      <c r="I55" s="3" t="s">
        <v>1</v>
      </c>
      <c r="J55" s="4" t="s">
        <v>2</v>
      </c>
    </row>
    <row r="56" ht="14.25" customHeight="1">
      <c r="H56" s="6" t="s">
        <v>3</v>
      </c>
      <c r="I56" s="7">
        <v>0.0</v>
      </c>
      <c r="J56" s="8">
        <v>0.069</v>
      </c>
      <c r="L56" s="1">
        <f t="shared" ref="L56:L180" si="1"> J56*3.03</f>
        <v>0.20907</v>
      </c>
      <c r="N56" s="1">
        <f> (4.98*10000/L56)-10000</f>
        <v>228197.7328</v>
      </c>
    </row>
    <row r="57" ht="14.25" customHeight="1">
      <c r="H57" s="6"/>
      <c r="I57" s="7">
        <v>1.0</v>
      </c>
      <c r="J57" s="6"/>
      <c r="L57" s="1">
        <f t="shared" si="1"/>
        <v>0</v>
      </c>
    </row>
    <row r="58" ht="14.25" customHeight="1">
      <c r="H58" s="6" t="s">
        <v>7</v>
      </c>
      <c r="I58" s="7">
        <v>2.0</v>
      </c>
      <c r="J58" s="8">
        <v>0.092</v>
      </c>
      <c r="L58" s="1">
        <f t="shared" si="1"/>
        <v>0.27876</v>
      </c>
      <c r="N58" s="1">
        <f> (4.98*10000/L58)-10000</f>
        <v>168648.2996</v>
      </c>
    </row>
    <row r="59" ht="14.25" customHeight="1">
      <c r="H59" s="6"/>
      <c r="I59" s="7">
        <v>3.0</v>
      </c>
      <c r="J59" s="6"/>
      <c r="L59" s="1">
        <f t="shared" si="1"/>
        <v>0</v>
      </c>
    </row>
    <row r="60" ht="14.25" customHeight="1">
      <c r="H60" s="6" t="s">
        <v>11</v>
      </c>
      <c r="I60" s="7">
        <v>4.0</v>
      </c>
      <c r="J60" s="8">
        <v>0.115</v>
      </c>
      <c r="L60" s="1">
        <f t="shared" si="1"/>
        <v>0.34845</v>
      </c>
      <c r="N60" s="1">
        <f> (4.98*10000/L60)-10000</f>
        <v>132918.6397</v>
      </c>
    </row>
    <row r="61" ht="14.25" customHeight="1">
      <c r="H61" s="6"/>
      <c r="I61" s="7">
        <v>5.0</v>
      </c>
      <c r="J61" s="6"/>
      <c r="L61" s="1">
        <f t="shared" si="1"/>
        <v>0</v>
      </c>
    </row>
    <row r="62" ht="14.25" customHeight="1">
      <c r="H62" s="6" t="s">
        <v>15</v>
      </c>
      <c r="I62" s="7">
        <v>6.0</v>
      </c>
      <c r="J62" s="8">
        <v>0.139</v>
      </c>
      <c r="L62" s="1">
        <f t="shared" si="1"/>
        <v>0.42117</v>
      </c>
      <c r="N62" s="1">
        <f> (4.98*10000/L62)-10000</f>
        <v>108242.04</v>
      </c>
    </row>
    <row r="63" ht="14.25" customHeight="1">
      <c r="H63" s="6"/>
      <c r="I63" s="7">
        <v>7.0</v>
      </c>
      <c r="J63" s="6"/>
      <c r="L63" s="1">
        <f t="shared" si="1"/>
        <v>0</v>
      </c>
    </row>
    <row r="64" ht="14.25" customHeight="1">
      <c r="H64" s="6" t="s">
        <v>19</v>
      </c>
      <c r="I64" s="7">
        <v>8.0</v>
      </c>
      <c r="J64" s="8">
        <v>0.162</v>
      </c>
      <c r="L64" s="1">
        <f t="shared" si="1"/>
        <v>0.49086</v>
      </c>
      <c r="N64" s="1">
        <f> (4.98*10000/L64)-10000</f>
        <v>91454.5899</v>
      </c>
    </row>
    <row r="65" ht="14.25" customHeight="1">
      <c r="H65" s="6"/>
      <c r="I65" s="7">
        <v>9.0</v>
      </c>
      <c r="J65" s="6"/>
      <c r="L65" s="1">
        <f t="shared" si="1"/>
        <v>0</v>
      </c>
    </row>
    <row r="66" ht="14.25" customHeight="1">
      <c r="H66" s="6" t="s">
        <v>23</v>
      </c>
      <c r="I66" s="7">
        <v>10.0</v>
      </c>
      <c r="J66" s="6">
        <f>J64+0.024</f>
        <v>0.186</v>
      </c>
      <c r="L66" s="1">
        <f t="shared" si="1"/>
        <v>0.56358</v>
      </c>
      <c r="N66" s="1">
        <f> (4.98*10000/L66)-10000</f>
        <v>78363.67508</v>
      </c>
    </row>
    <row r="67" ht="14.25" customHeight="1">
      <c r="H67" s="6"/>
      <c r="I67" s="7">
        <v>11.0</v>
      </c>
      <c r="J67" s="6"/>
      <c r="L67" s="1">
        <f t="shared" si="1"/>
        <v>0</v>
      </c>
    </row>
    <row r="68" ht="14.25" customHeight="1">
      <c r="H68" s="6" t="s">
        <v>27</v>
      </c>
      <c r="I68" s="7">
        <v>12.0</v>
      </c>
      <c r="J68" s="6">
        <f>J66+0.024</f>
        <v>0.21</v>
      </c>
      <c r="L68" s="1">
        <f t="shared" si="1"/>
        <v>0.6363</v>
      </c>
      <c r="N68" s="1">
        <f> (4.98*10000/L68)-10000</f>
        <v>68264.96935</v>
      </c>
    </row>
    <row r="69" ht="14.25" customHeight="1">
      <c r="H69" s="6"/>
      <c r="I69" s="7">
        <v>13.0</v>
      </c>
      <c r="J69" s="6"/>
      <c r="L69" s="1">
        <f t="shared" si="1"/>
        <v>0</v>
      </c>
    </row>
    <row r="70" ht="14.25" customHeight="1">
      <c r="H70" s="6" t="s">
        <v>31</v>
      </c>
      <c r="I70" s="7">
        <v>14.0</v>
      </c>
      <c r="J70" s="6">
        <f>J68+0.024</f>
        <v>0.234</v>
      </c>
      <c r="L70" s="1">
        <f t="shared" si="1"/>
        <v>0.70902</v>
      </c>
      <c r="N70" s="1">
        <f> (4.98*10000/L70)-10000</f>
        <v>60237.79301</v>
      </c>
    </row>
    <row r="71" ht="14.25" customHeight="1">
      <c r="H71" s="6"/>
      <c r="I71" s="7">
        <v>15.0</v>
      </c>
      <c r="J71" s="6"/>
      <c r="L71" s="1">
        <f t="shared" si="1"/>
        <v>0</v>
      </c>
    </row>
    <row r="72" ht="14.25" customHeight="1">
      <c r="H72" s="6" t="s">
        <v>35</v>
      </c>
      <c r="I72" s="7">
        <v>16.0</v>
      </c>
      <c r="J72" s="6">
        <f>J70+0.024</f>
        <v>0.258</v>
      </c>
      <c r="L72" s="1">
        <f t="shared" si="1"/>
        <v>0.78174</v>
      </c>
      <c r="N72" s="1">
        <f> (4.98*10000/L72)-10000</f>
        <v>53704.04482</v>
      </c>
    </row>
    <row r="73" ht="14.25" customHeight="1">
      <c r="H73" s="6"/>
      <c r="I73" s="7">
        <v>17.0</v>
      </c>
      <c r="J73" s="6"/>
      <c r="L73" s="1">
        <f t="shared" si="1"/>
        <v>0</v>
      </c>
    </row>
    <row r="74" ht="14.25" customHeight="1">
      <c r="H74" s="6" t="s">
        <v>39</v>
      </c>
      <c r="I74" s="7">
        <v>18.0</v>
      </c>
      <c r="J74" s="6">
        <f>J72+0.024</f>
        <v>0.282</v>
      </c>
      <c r="L74" s="1">
        <f t="shared" si="1"/>
        <v>0.85446</v>
      </c>
      <c r="N74" s="1">
        <f> (4.98*10000/L74)-10000</f>
        <v>48282.42399</v>
      </c>
    </row>
    <row r="75" ht="14.25" customHeight="1">
      <c r="H75" s="6"/>
      <c r="I75" s="7">
        <v>19.0</v>
      </c>
      <c r="J75" s="6"/>
      <c r="L75" s="1">
        <f t="shared" si="1"/>
        <v>0</v>
      </c>
    </row>
    <row r="76" ht="14.25" customHeight="1">
      <c r="H76" s="6" t="s">
        <v>43</v>
      </c>
      <c r="I76" s="7">
        <v>20.0</v>
      </c>
      <c r="J76" s="6">
        <f>J74+0.024</f>
        <v>0.306</v>
      </c>
      <c r="L76" s="1">
        <f t="shared" si="1"/>
        <v>0.92718</v>
      </c>
      <c r="N76" s="1">
        <f> (4.98*10000/L76)-10000</f>
        <v>43711.25348</v>
      </c>
    </row>
    <row r="77" ht="14.25" customHeight="1">
      <c r="H77" s="6"/>
      <c r="I77" s="7">
        <v>21.0</v>
      </c>
      <c r="J77" s="6"/>
      <c r="L77" s="1">
        <f t="shared" si="1"/>
        <v>0</v>
      </c>
    </row>
    <row r="78" ht="14.25" customHeight="1">
      <c r="H78" s="6" t="s">
        <v>47</v>
      </c>
      <c r="I78" s="7">
        <v>22.0</v>
      </c>
      <c r="J78" s="6">
        <f>J76+0.024</f>
        <v>0.33</v>
      </c>
      <c r="L78" s="1">
        <f t="shared" si="1"/>
        <v>0.9999</v>
      </c>
      <c r="N78" s="1">
        <f> (4.98*10000/L78)-10000</f>
        <v>39804.9805</v>
      </c>
    </row>
    <row r="79" ht="14.25" customHeight="1">
      <c r="L79" s="1">
        <f t="shared" si="1"/>
        <v>0</v>
      </c>
    </row>
    <row r="80" ht="14.25" customHeight="1">
      <c r="H80" s="6" t="s">
        <v>51</v>
      </c>
      <c r="I80" s="7">
        <v>24.0</v>
      </c>
      <c r="J80" s="8">
        <v>0.353</v>
      </c>
      <c r="L80" s="1">
        <f t="shared" si="1"/>
        <v>1.06959</v>
      </c>
      <c r="N80" s="1">
        <f> (4.98*10000/L80)-10000</f>
        <v>36559.89678</v>
      </c>
    </row>
    <row r="81" ht="14.25" customHeight="1">
      <c r="H81" s="6"/>
      <c r="I81" s="7">
        <v>25.0</v>
      </c>
      <c r="J81" s="6"/>
      <c r="L81" s="1">
        <f t="shared" si="1"/>
        <v>0</v>
      </c>
    </row>
    <row r="82" ht="14.25" customHeight="1">
      <c r="H82" s="6" t="s">
        <v>55</v>
      </c>
      <c r="I82" s="7">
        <v>26.0</v>
      </c>
      <c r="J82" s="6">
        <f>J80+0.024</f>
        <v>0.377</v>
      </c>
      <c r="L82" s="1">
        <f t="shared" si="1"/>
        <v>1.14231</v>
      </c>
      <c r="N82" s="1">
        <f> (4.98*10000/L82)-10000</f>
        <v>33595.87152</v>
      </c>
    </row>
    <row r="83" ht="14.25" customHeight="1">
      <c r="H83" s="6"/>
      <c r="I83" s="7">
        <v>27.0</v>
      </c>
      <c r="J83" s="6"/>
      <c r="L83" s="1">
        <f t="shared" si="1"/>
        <v>0</v>
      </c>
    </row>
    <row r="84" ht="14.25" customHeight="1">
      <c r="H84" s="6" t="s">
        <v>59</v>
      </c>
      <c r="I84" s="7">
        <v>28.0</v>
      </c>
      <c r="J84" s="6">
        <f>J82+0.024</f>
        <v>0.401</v>
      </c>
      <c r="L84" s="1">
        <f t="shared" si="1"/>
        <v>1.21503</v>
      </c>
      <c r="N84" s="1">
        <f> (4.98*10000/L84)-10000</f>
        <v>30986.64231</v>
      </c>
    </row>
    <row r="85" ht="14.25" customHeight="1">
      <c r="H85" s="6"/>
      <c r="I85" s="7">
        <v>29.0</v>
      </c>
      <c r="J85" s="6"/>
      <c r="L85" s="1">
        <f t="shared" si="1"/>
        <v>0</v>
      </c>
    </row>
    <row r="86" ht="14.25" customHeight="1">
      <c r="H86" s="6" t="s">
        <v>63</v>
      </c>
      <c r="I86" s="7">
        <v>30.0</v>
      </c>
      <c r="J86" s="6">
        <f>J84+0.024</f>
        <v>0.425</v>
      </c>
      <c r="L86" s="1">
        <f t="shared" si="1"/>
        <v>1.28775</v>
      </c>
      <c r="N86" s="1">
        <f> (4.98*10000/L86)-10000</f>
        <v>28672.1025</v>
      </c>
    </row>
    <row r="87" ht="14.25" customHeight="1">
      <c r="H87" s="6"/>
      <c r="I87" s="7">
        <v>31.0</v>
      </c>
      <c r="J87" s="6"/>
      <c r="L87" s="1">
        <f t="shared" si="1"/>
        <v>0</v>
      </c>
    </row>
    <row r="88" ht="14.25" customHeight="1">
      <c r="H88" s="6" t="s">
        <v>67</v>
      </c>
      <c r="I88" s="7">
        <v>32.0</v>
      </c>
      <c r="J88" s="8">
        <f>J86+0.024</f>
        <v>0.449</v>
      </c>
      <c r="L88" s="1">
        <f t="shared" si="1"/>
        <v>1.36047</v>
      </c>
      <c r="N88" s="1">
        <f> (4.98*10000/L88)-10000</f>
        <v>26604.9968</v>
      </c>
    </row>
    <row r="89" ht="14.25" customHeight="1">
      <c r="H89" s="6"/>
      <c r="I89" s="7">
        <v>33.0</v>
      </c>
      <c r="J89" s="6"/>
      <c r="L89" s="1">
        <f t="shared" si="1"/>
        <v>0</v>
      </c>
    </row>
    <row r="90" ht="14.25" customHeight="1">
      <c r="H90" s="6" t="s">
        <v>71</v>
      </c>
      <c r="I90" s="7">
        <v>34.0</v>
      </c>
      <c r="J90" s="6">
        <f>J88+0.024</f>
        <v>0.473</v>
      </c>
      <c r="L90" s="1">
        <f t="shared" si="1"/>
        <v>1.43319</v>
      </c>
      <c r="N90" s="1">
        <f> (4.98*10000/L90)-10000</f>
        <v>24747.66081</v>
      </c>
    </row>
    <row r="91" ht="14.25" customHeight="1">
      <c r="H91" s="6"/>
      <c r="I91" s="7">
        <v>35.0</v>
      </c>
      <c r="J91" s="6"/>
      <c r="L91" s="1">
        <f t="shared" si="1"/>
        <v>0</v>
      </c>
    </row>
    <row r="92" ht="14.25" customHeight="1">
      <c r="H92" s="6" t="s">
        <v>75</v>
      </c>
      <c r="I92" s="7">
        <v>36.0</v>
      </c>
      <c r="J92" s="6">
        <f>J90+0.024</f>
        <v>0.497</v>
      </c>
      <c r="L92" s="1">
        <f t="shared" si="1"/>
        <v>1.50591</v>
      </c>
      <c r="N92" s="1">
        <f> (4.98*10000/L92)-10000</f>
        <v>23069.70536</v>
      </c>
    </row>
    <row r="93" ht="14.25" customHeight="1">
      <c r="H93" s="6"/>
      <c r="I93" s="7">
        <v>37.0</v>
      </c>
      <c r="J93" s="6"/>
      <c r="L93" s="1">
        <f t="shared" si="1"/>
        <v>0</v>
      </c>
    </row>
    <row r="94" ht="14.25" customHeight="1">
      <c r="H94" s="6" t="s">
        <v>79</v>
      </c>
      <c r="I94" s="7">
        <v>38.0</v>
      </c>
      <c r="J94" s="6">
        <f>J92+0.024</f>
        <v>0.521</v>
      </c>
      <c r="L94" s="1">
        <f t="shared" si="1"/>
        <v>1.57863</v>
      </c>
      <c r="N94" s="1">
        <f> (4.98*10000/L94)-10000</f>
        <v>21546.34081</v>
      </c>
    </row>
    <row r="95" ht="14.25" customHeight="1">
      <c r="H95" s="6"/>
      <c r="I95" s="7">
        <v>39.0</v>
      </c>
      <c r="J95" s="6"/>
      <c r="L95" s="1">
        <f t="shared" si="1"/>
        <v>0</v>
      </c>
    </row>
    <row r="96" ht="14.25" customHeight="1">
      <c r="H96" s="6" t="s">
        <v>83</v>
      </c>
      <c r="I96" s="7">
        <v>40.0</v>
      </c>
      <c r="J96" s="6">
        <f>J94+0.024</f>
        <v>0.545</v>
      </c>
      <c r="L96" s="1">
        <f t="shared" si="1"/>
        <v>1.65135</v>
      </c>
      <c r="N96" s="1">
        <f> (4.98*10000/L96)-10000</f>
        <v>20157.14415</v>
      </c>
    </row>
    <row r="97" ht="14.25" customHeight="1">
      <c r="H97" s="6"/>
      <c r="I97" s="7">
        <v>41.0</v>
      </c>
      <c r="J97" s="6"/>
      <c r="L97" s="1">
        <f t="shared" si="1"/>
        <v>0</v>
      </c>
    </row>
    <row r="98" ht="14.25" customHeight="1">
      <c r="H98" s="6" t="s">
        <v>87</v>
      </c>
      <c r="I98" s="7">
        <v>42.0</v>
      </c>
      <c r="J98" s="6">
        <f>J96+0.024</f>
        <v>0.569</v>
      </c>
      <c r="L98" s="1">
        <f t="shared" si="1"/>
        <v>1.72407</v>
      </c>
      <c r="N98" s="1">
        <f> (4.98*10000/L98)-10000</f>
        <v>18885.13807</v>
      </c>
    </row>
    <row r="99" ht="14.25" customHeight="1">
      <c r="H99" s="6"/>
      <c r="I99" s="7">
        <v>43.0</v>
      </c>
      <c r="J99" s="6"/>
      <c r="L99" s="1">
        <f t="shared" si="1"/>
        <v>0</v>
      </c>
    </row>
    <row r="100" ht="14.25" customHeight="1">
      <c r="H100" s="6" t="s">
        <v>91</v>
      </c>
      <c r="I100" s="7">
        <v>44.0</v>
      </c>
      <c r="J100" s="6">
        <f>J98+0.024</f>
        <v>0.593</v>
      </c>
      <c r="L100" s="1">
        <f t="shared" si="1"/>
        <v>1.79679</v>
      </c>
      <c r="N100" s="1">
        <f> (4.98*10000/L100)-10000</f>
        <v>17716.0937</v>
      </c>
    </row>
    <row r="101" ht="14.25" customHeight="1">
      <c r="H101" s="6"/>
      <c r="I101" s="7">
        <v>45.0</v>
      </c>
      <c r="J101" s="6"/>
      <c r="L101" s="1">
        <f t="shared" si="1"/>
        <v>0</v>
      </c>
    </row>
    <row r="102" ht="14.25" customHeight="1">
      <c r="H102" s="6" t="s">
        <v>95</v>
      </c>
      <c r="I102" s="7">
        <v>46.0</v>
      </c>
      <c r="J102" s="6">
        <f>J100+0.024</f>
        <v>0.617</v>
      </c>
      <c r="L102" s="1">
        <f t="shared" si="1"/>
        <v>1.86951</v>
      </c>
      <c r="N102" s="1">
        <f> (4.98*10000/L102)-10000</f>
        <v>16637.99605</v>
      </c>
    </row>
    <row r="103" ht="14.25" customHeight="1">
      <c r="H103" s="11"/>
      <c r="I103" s="12">
        <v>47.0</v>
      </c>
      <c r="J103" s="11"/>
      <c r="L103" s="1">
        <f t="shared" si="1"/>
        <v>0</v>
      </c>
    </row>
    <row r="104" ht="14.25" customHeight="1">
      <c r="L104" s="1">
        <f t="shared" si="1"/>
        <v>0</v>
      </c>
    </row>
    <row r="105" ht="14.25" customHeight="1">
      <c r="H105" s="6" t="s">
        <v>4</v>
      </c>
      <c r="I105" s="7">
        <v>48.0</v>
      </c>
      <c r="J105" s="9">
        <v>0.641</v>
      </c>
      <c r="L105" s="1">
        <f t="shared" si="1"/>
        <v>1.94223</v>
      </c>
      <c r="N105" s="1">
        <f> (4.98*10000/L105)-10000</f>
        <v>15640.62959</v>
      </c>
    </row>
    <row r="106" ht="14.25" customHeight="1">
      <c r="H106" s="6"/>
      <c r="I106" s="7">
        <v>49.0</v>
      </c>
      <c r="J106" s="10"/>
      <c r="L106" s="1">
        <f t="shared" si="1"/>
        <v>0</v>
      </c>
    </row>
    <row r="107" ht="14.25" customHeight="1">
      <c r="H107" s="6" t="s">
        <v>8</v>
      </c>
      <c r="I107" s="7">
        <v>50.0</v>
      </c>
      <c r="J107" s="10">
        <f>J105+0.024</f>
        <v>0.665</v>
      </c>
      <c r="L107" s="1">
        <f t="shared" si="1"/>
        <v>2.01495</v>
      </c>
      <c r="N107" s="1">
        <f> (4.98*10000/L107)-10000</f>
        <v>14715.25348</v>
      </c>
    </row>
    <row r="108" ht="14.25" customHeight="1">
      <c r="H108" s="6"/>
      <c r="I108" s="7">
        <v>51.0</v>
      </c>
      <c r="J108" s="10"/>
      <c r="L108" s="1">
        <f t="shared" si="1"/>
        <v>0</v>
      </c>
    </row>
    <row r="109" ht="14.25" customHeight="1">
      <c r="H109" s="6" t="s">
        <v>12</v>
      </c>
      <c r="I109" s="7">
        <v>52.0</v>
      </c>
      <c r="J109" s="10">
        <f>J107+0.024</f>
        <v>0.689</v>
      </c>
      <c r="L109" s="1">
        <f t="shared" si="1"/>
        <v>2.08767</v>
      </c>
      <c r="N109" s="1">
        <f> (4.98*10000/L109)-10000</f>
        <v>13854.3448</v>
      </c>
    </row>
    <row r="110" ht="14.25" customHeight="1">
      <c r="H110" s="6"/>
      <c r="I110" s="7">
        <v>53.0</v>
      </c>
      <c r="J110" s="10"/>
      <c r="L110" s="1">
        <f t="shared" si="1"/>
        <v>0</v>
      </c>
    </row>
    <row r="111" ht="14.25" customHeight="1">
      <c r="H111" s="6" t="s">
        <v>16</v>
      </c>
      <c r="I111" s="7">
        <v>54.0</v>
      </c>
      <c r="J111" s="10">
        <f>J109+0.024</f>
        <v>0.713</v>
      </c>
      <c r="L111" s="1">
        <f t="shared" si="1"/>
        <v>2.16039</v>
      </c>
      <c r="N111" s="1">
        <f> (4.98*10000/L111)-10000</f>
        <v>13051.3935</v>
      </c>
    </row>
    <row r="112" ht="14.25" customHeight="1">
      <c r="H112" s="6"/>
      <c r="I112" s="7">
        <v>55.0</v>
      </c>
      <c r="J112" s="10"/>
      <c r="L112" s="1">
        <f t="shared" si="1"/>
        <v>0</v>
      </c>
    </row>
    <row r="113" ht="14.25" customHeight="1">
      <c r="H113" s="6" t="s">
        <v>20</v>
      </c>
      <c r="I113" s="7">
        <v>56.0</v>
      </c>
      <c r="J113" s="10">
        <f>J111+0.024</f>
        <v>0.737</v>
      </c>
      <c r="L113" s="1">
        <f t="shared" si="1"/>
        <v>2.23311</v>
      </c>
      <c r="N113" s="1">
        <f> (4.98*10000/L113)-10000</f>
        <v>12300.73754</v>
      </c>
    </row>
    <row r="114" ht="14.25" customHeight="1">
      <c r="H114" s="6"/>
      <c r="I114" s="7">
        <v>57.0</v>
      </c>
      <c r="J114" s="10"/>
      <c r="L114" s="1">
        <f t="shared" si="1"/>
        <v>0</v>
      </c>
    </row>
    <row r="115" ht="14.25" customHeight="1">
      <c r="H115" s="6" t="s">
        <v>24</v>
      </c>
      <c r="I115" s="7">
        <v>58.0</v>
      </c>
      <c r="J115" s="10">
        <f>J113+0.024</f>
        <v>0.761</v>
      </c>
      <c r="L115" s="1">
        <f t="shared" si="1"/>
        <v>2.30583</v>
      </c>
      <c r="N115" s="1">
        <f> (4.98*10000/L115)-10000</f>
        <v>11597.42913</v>
      </c>
    </row>
    <row r="116" ht="14.25" customHeight="1">
      <c r="H116" s="6"/>
      <c r="I116" s="7">
        <v>59.0</v>
      </c>
      <c r="J116" s="10"/>
      <c r="L116" s="1">
        <f t="shared" si="1"/>
        <v>0</v>
      </c>
    </row>
    <row r="117" ht="14.25" customHeight="1">
      <c r="H117" s="6" t="s">
        <v>28</v>
      </c>
      <c r="I117" s="7">
        <v>60.0</v>
      </c>
      <c r="J117" s="10">
        <f>J115+0.024</f>
        <v>0.785</v>
      </c>
      <c r="L117" s="1">
        <f t="shared" si="1"/>
        <v>2.37855</v>
      </c>
      <c r="N117" s="1">
        <f> (4.98*10000/L117)-10000</f>
        <v>10937.12556</v>
      </c>
    </row>
    <row r="118" ht="14.25" customHeight="1">
      <c r="H118" s="6"/>
      <c r="I118" s="7">
        <v>61.0</v>
      </c>
      <c r="J118" s="10"/>
      <c r="L118" s="1">
        <f t="shared" si="1"/>
        <v>0</v>
      </c>
    </row>
    <row r="119" ht="14.25" customHeight="1">
      <c r="H119" s="6" t="s">
        <v>32</v>
      </c>
      <c r="I119" s="7">
        <v>62.0</v>
      </c>
      <c r="J119" s="10">
        <f>J117+0.024</f>
        <v>0.809</v>
      </c>
      <c r="L119" s="1">
        <f t="shared" si="1"/>
        <v>2.45127</v>
      </c>
      <c r="N119" s="1">
        <f> (4.98*10000/L119)-10000</f>
        <v>10315.99946</v>
      </c>
    </row>
    <row r="120" ht="14.25" customHeight="1">
      <c r="H120" s="6"/>
      <c r="I120" s="7">
        <v>63.0</v>
      </c>
      <c r="J120" s="10"/>
      <c r="L120" s="1">
        <f t="shared" si="1"/>
        <v>0</v>
      </c>
    </row>
    <row r="121" ht="14.25" customHeight="1">
      <c r="H121" s="6" t="s">
        <v>36</v>
      </c>
      <c r="I121" s="7">
        <v>64.0</v>
      </c>
      <c r="J121" s="9">
        <f>J119+0.024</f>
        <v>0.833</v>
      </c>
      <c r="L121" s="1">
        <f t="shared" si="1"/>
        <v>2.52399</v>
      </c>
      <c r="N121" s="1">
        <f> (4.98*10000/L121)-10000</f>
        <v>9730.664543</v>
      </c>
    </row>
    <row r="122" ht="14.25" customHeight="1">
      <c r="H122" s="6"/>
      <c r="I122" s="7">
        <v>65.0</v>
      </c>
      <c r="J122" s="10"/>
      <c r="L122" s="1">
        <f t="shared" si="1"/>
        <v>0</v>
      </c>
    </row>
    <row r="123" ht="14.25" customHeight="1">
      <c r="H123" s="6" t="s">
        <v>40</v>
      </c>
      <c r="I123" s="7">
        <v>66.0</v>
      </c>
      <c r="J123" s="10">
        <f>J121+0.024</f>
        <v>0.857</v>
      </c>
      <c r="L123" s="1">
        <f t="shared" si="1"/>
        <v>2.59671</v>
      </c>
      <c r="N123" s="1">
        <f> (4.98*10000/L123)-10000</f>
        <v>9178.113844</v>
      </c>
    </row>
    <row r="124" ht="14.25" customHeight="1">
      <c r="H124" s="6"/>
      <c r="I124" s="7">
        <v>67.0</v>
      </c>
      <c r="J124" s="10"/>
      <c r="L124" s="1">
        <f t="shared" si="1"/>
        <v>0</v>
      </c>
    </row>
    <row r="125" ht="14.25" customHeight="1">
      <c r="H125" s="6" t="s">
        <v>44</v>
      </c>
      <c r="I125" s="7">
        <v>68.0</v>
      </c>
      <c r="J125" s="10">
        <f>J123+0.024</f>
        <v>0.881</v>
      </c>
      <c r="L125" s="1">
        <f t="shared" si="1"/>
        <v>2.66943</v>
      </c>
      <c r="N125" s="1">
        <f> (4.98*10000/L125)-10000</f>
        <v>8655.668064</v>
      </c>
    </row>
    <row r="126" ht="14.25" customHeight="1">
      <c r="H126" s="6"/>
      <c r="I126" s="7">
        <v>69.0</v>
      </c>
      <c r="J126" s="10"/>
      <c r="L126" s="1">
        <f t="shared" si="1"/>
        <v>0</v>
      </c>
    </row>
    <row r="127" ht="14.25" customHeight="1">
      <c r="H127" s="6" t="s">
        <v>48</v>
      </c>
      <c r="I127" s="7">
        <v>70.0</v>
      </c>
      <c r="J127" s="10">
        <f>J125+0.024</f>
        <v>0.905</v>
      </c>
      <c r="L127" s="1">
        <f t="shared" si="1"/>
        <v>2.74215</v>
      </c>
      <c r="N127" s="1">
        <f> (4.98*10000/L127)-10000</f>
        <v>8160.932115</v>
      </c>
    </row>
    <row r="128" ht="14.25" customHeight="1">
      <c r="H128" s="6"/>
      <c r="I128" s="7">
        <v>71.0</v>
      </c>
      <c r="J128" s="10"/>
      <c r="L128" s="1">
        <f t="shared" si="1"/>
        <v>0</v>
      </c>
    </row>
    <row r="129" ht="14.25" customHeight="1">
      <c r="H129" s="6" t="s">
        <v>52</v>
      </c>
      <c r="I129" s="7">
        <v>72.0</v>
      </c>
      <c r="J129" s="9">
        <v>0.93</v>
      </c>
      <c r="L129" s="1">
        <f t="shared" si="1"/>
        <v>2.8179</v>
      </c>
      <c r="N129" s="1">
        <f> (4.98*10000/L129)-10000</f>
        <v>7672.735015</v>
      </c>
    </row>
    <row r="130" ht="14.25" customHeight="1">
      <c r="H130" s="6"/>
      <c r="I130" s="7">
        <v>73.0</v>
      </c>
      <c r="J130" s="10"/>
      <c r="L130" s="1">
        <f t="shared" si="1"/>
        <v>0</v>
      </c>
    </row>
    <row r="131" ht="14.25" customHeight="1">
      <c r="H131" s="6" t="s">
        <v>56</v>
      </c>
      <c r="I131" s="7">
        <v>74.0</v>
      </c>
      <c r="J131" s="10">
        <f>J129+0.024</f>
        <v>0.954</v>
      </c>
      <c r="L131" s="1">
        <f t="shared" si="1"/>
        <v>2.89062</v>
      </c>
      <c r="N131" s="1">
        <f> (4.98*10000/L131)-10000</f>
        <v>7228.137908</v>
      </c>
    </row>
    <row r="132" ht="14.25" customHeight="1">
      <c r="H132" s="6"/>
      <c r="I132" s="7">
        <v>75.0</v>
      </c>
      <c r="J132" s="10"/>
      <c r="L132" s="1">
        <f t="shared" si="1"/>
        <v>0</v>
      </c>
    </row>
    <row r="133" ht="14.25" customHeight="1">
      <c r="H133" s="6" t="s">
        <v>60</v>
      </c>
      <c r="I133" s="7">
        <v>76.0</v>
      </c>
      <c r="J133" s="10">
        <f>J131+0.024</f>
        <v>0.978</v>
      </c>
      <c r="L133" s="1">
        <f t="shared" si="1"/>
        <v>2.96334</v>
      </c>
      <c r="N133" s="1">
        <f> (4.98*10000/L133)-10000</f>
        <v>6805.361518</v>
      </c>
    </row>
    <row r="134" ht="14.25" customHeight="1">
      <c r="H134" s="6"/>
      <c r="I134" s="7">
        <v>77.0</v>
      </c>
      <c r="J134" s="10"/>
      <c r="L134" s="1">
        <f t="shared" si="1"/>
        <v>0</v>
      </c>
    </row>
    <row r="135" ht="14.25" customHeight="1">
      <c r="H135" s="6" t="s">
        <v>64</v>
      </c>
      <c r="I135" s="7">
        <v>78.0</v>
      </c>
      <c r="J135" s="10">
        <f>J133+0.024</f>
        <v>1.002</v>
      </c>
      <c r="L135" s="1">
        <f t="shared" si="1"/>
        <v>3.03606</v>
      </c>
      <c r="N135" s="1">
        <f> (4.98*10000/L135)-10000</f>
        <v>6402.837889</v>
      </c>
    </row>
    <row r="136" ht="14.25" customHeight="1">
      <c r="H136" s="6"/>
      <c r="I136" s="7">
        <v>79.0</v>
      </c>
      <c r="J136" s="10"/>
      <c r="L136" s="1">
        <f t="shared" si="1"/>
        <v>0</v>
      </c>
    </row>
    <row r="137" ht="14.25" customHeight="1">
      <c r="H137" s="6" t="s">
        <v>68</v>
      </c>
      <c r="I137" s="7">
        <v>80.0</v>
      </c>
      <c r="J137" s="10">
        <f>J135+0.024</f>
        <v>1.026</v>
      </c>
      <c r="L137" s="1">
        <f t="shared" si="1"/>
        <v>3.10878</v>
      </c>
      <c r="N137" s="1">
        <f> (4.98*10000/L137)-10000</f>
        <v>6019.145774</v>
      </c>
    </row>
    <row r="138" ht="14.25" customHeight="1">
      <c r="H138" s="6"/>
      <c r="I138" s="7">
        <v>81.0</v>
      </c>
      <c r="J138" s="10"/>
      <c r="L138" s="1">
        <f t="shared" si="1"/>
        <v>0</v>
      </c>
    </row>
    <row r="139" ht="14.25" customHeight="1">
      <c r="H139" s="6" t="s">
        <v>72</v>
      </c>
      <c r="I139" s="7">
        <v>82.0</v>
      </c>
      <c r="J139" s="10">
        <f>J137+0.024</f>
        <v>1.05</v>
      </c>
      <c r="L139" s="1">
        <f t="shared" si="1"/>
        <v>3.1815</v>
      </c>
      <c r="N139" s="1">
        <f> (4.98*10000/L139)-10000</f>
        <v>5652.993871</v>
      </c>
    </row>
    <row r="140" ht="14.25" customHeight="1">
      <c r="H140" s="6"/>
      <c r="I140" s="7">
        <v>83.0</v>
      </c>
      <c r="J140" s="10"/>
      <c r="L140" s="1">
        <f t="shared" si="1"/>
        <v>0</v>
      </c>
    </row>
    <row r="141" ht="14.25" customHeight="1">
      <c r="H141" s="6" t="s">
        <v>76</v>
      </c>
      <c r="I141" s="7">
        <v>84.0</v>
      </c>
      <c r="J141" s="10">
        <f>J139+0.024</f>
        <v>1.074</v>
      </c>
      <c r="L141" s="1">
        <f t="shared" si="1"/>
        <v>3.25422</v>
      </c>
      <c r="N141" s="1">
        <f> (4.98*10000/L141)-10000</f>
        <v>5303.206298</v>
      </c>
    </row>
    <row r="142" ht="14.25" customHeight="1">
      <c r="H142" s="6"/>
      <c r="I142" s="7">
        <v>85.0</v>
      </c>
      <c r="J142" s="10"/>
      <c r="L142" s="1">
        <f t="shared" si="1"/>
        <v>0</v>
      </c>
    </row>
    <row r="143" ht="14.25" customHeight="1">
      <c r="H143" s="6" t="s">
        <v>80</v>
      </c>
      <c r="I143" s="7">
        <v>86.0</v>
      </c>
      <c r="J143" s="10">
        <f>J141+0.024</f>
        <v>1.098</v>
      </c>
      <c r="L143" s="1">
        <f t="shared" si="1"/>
        <v>3.32694</v>
      </c>
      <c r="N143" s="1">
        <f> (4.98*10000/L143)-10000</f>
        <v>4968.709986</v>
      </c>
    </row>
    <row r="144" ht="14.25" customHeight="1">
      <c r="H144" s="6"/>
      <c r="I144" s="7">
        <v>87.0</v>
      </c>
      <c r="J144" s="10"/>
      <c r="L144" s="1">
        <f t="shared" si="1"/>
        <v>0</v>
      </c>
    </row>
    <row r="145" ht="14.25" customHeight="1">
      <c r="H145" s="6" t="s">
        <v>84</v>
      </c>
      <c r="I145" s="7">
        <v>88.0</v>
      </c>
      <c r="J145" s="10">
        <f>J143+0.024</f>
        <v>1.122</v>
      </c>
      <c r="L145" s="1">
        <f t="shared" si="1"/>
        <v>3.39966</v>
      </c>
      <c r="N145" s="1">
        <f> (4.98*10000/L145)-10000</f>
        <v>4648.523676</v>
      </c>
    </row>
    <row r="146" ht="14.25" customHeight="1">
      <c r="H146" s="6"/>
      <c r="I146" s="7">
        <v>89.0</v>
      </c>
      <c r="J146" s="10"/>
      <c r="L146" s="1">
        <f t="shared" si="1"/>
        <v>0</v>
      </c>
    </row>
    <row r="147" ht="14.25" customHeight="1">
      <c r="H147" s="6" t="s">
        <v>88</v>
      </c>
      <c r="I147" s="7">
        <v>90.0</v>
      </c>
      <c r="J147" s="10">
        <f>J145+0.024</f>
        <v>1.146</v>
      </c>
      <c r="L147" s="1">
        <f t="shared" si="1"/>
        <v>3.47238</v>
      </c>
      <c r="N147" s="1">
        <f> (4.98*10000/L147)-10000</f>
        <v>4341.748311</v>
      </c>
    </row>
    <row r="148" ht="14.25" customHeight="1">
      <c r="H148" s="6"/>
      <c r="I148" s="7">
        <v>91.0</v>
      </c>
      <c r="J148" s="10"/>
      <c r="L148" s="1">
        <f t="shared" si="1"/>
        <v>0</v>
      </c>
    </row>
    <row r="149" ht="14.25" customHeight="1">
      <c r="H149" s="6" t="s">
        <v>92</v>
      </c>
      <c r="I149" s="7">
        <v>92.0</v>
      </c>
      <c r="J149" s="10">
        <f>J147+0.024</f>
        <v>1.17</v>
      </c>
      <c r="L149" s="1">
        <f t="shared" si="1"/>
        <v>3.5451</v>
      </c>
      <c r="N149" s="1">
        <f> (4.98*10000/L149)-10000</f>
        <v>4047.558602</v>
      </c>
    </row>
    <row r="150" ht="14.25" customHeight="1">
      <c r="H150" s="6"/>
      <c r="I150" s="7">
        <v>93.0</v>
      </c>
      <c r="J150" s="10"/>
      <c r="L150" s="1">
        <f t="shared" si="1"/>
        <v>0</v>
      </c>
    </row>
    <row r="151" ht="14.25" customHeight="1">
      <c r="H151" s="6" t="s">
        <v>96</v>
      </c>
      <c r="I151" s="7">
        <v>94.0</v>
      </c>
      <c r="J151" s="10">
        <f>J149+0.024</f>
        <v>1.194</v>
      </c>
      <c r="L151" s="1">
        <f t="shared" si="1"/>
        <v>3.61782</v>
      </c>
      <c r="N151" s="1">
        <f> (4.98*10000/L151)-10000</f>
        <v>3765.195615</v>
      </c>
    </row>
    <row r="152" ht="14.25" customHeight="1">
      <c r="H152" s="11"/>
      <c r="I152" s="12">
        <v>95.0</v>
      </c>
      <c r="J152" s="13"/>
      <c r="L152" s="1">
        <f t="shared" si="1"/>
        <v>0</v>
      </c>
    </row>
    <row r="153" ht="14.25" customHeight="1">
      <c r="L153" s="1">
        <f t="shared" si="1"/>
        <v>0</v>
      </c>
    </row>
    <row r="154" ht="14.25" customHeight="1">
      <c r="H154" s="6" t="s">
        <v>5</v>
      </c>
      <c r="I154" s="7">
        <v>96.0</v>
      </c>
      <c r="J154" s="9">
        <v>1.217</v>
      </c>
      <c r="L154" s="1">
        <f t="shared" si="1"/>
        <v>3.68751</v>
      </c>
      <c r="N154" s="1">
        <f> (4.98*10000/L154)-10000</f>
        <v>3505.048122</v>
      </c>
    </row>
    <row r="155" ht="14.25" customHeight="1">
      <c r="H155" s="6"/>
      <c r="I155" s="7">
        <v>97.0</v>
      </c>
      <c r="J155" s="10"/>
      <c r="L155" s="1">
        <f t="shared" si="1"/>
        <v>0</v>
      </c>
    </row>
    <row r="156" ht="14.25" customHeight="1">
      <c r="H156" s="6" t="s">
        <v>9</v>
      </c>
      <c r="I156" s="7">
        <v>98.0</v>
      </c>
      <c r="J156" s="10">
        <f>J154+0.024</f>
        <v>1.241</v>
      </c>
      <c r="L156" s="1">
        <f t="shared" si="1"/>
        <v>3.76023</v>
      </c>
      <c r="N156" s="1">
        <f> (4.98*10000/L156)-10000</f>
        <v>3243.870721</v>
      </c>
    </row>
    <row r="157" ht="14.25" customHeight="1">
      <c r="H157" s="6"/>
      <c r="I157" s="7">
        <v>99.0</v>
      </c>
      <c r="J157" s="10"/>
      <c r="L157" s="1">
        <f t="shared" si="1"/>
        <v>0</v>
      </c>
    </row>
    <row r="158" ht="14.25" customHeight="1">
      <c r="H158" s="6" t="s">
        <v>13</v>
      </c>
      <c r="I158" s="7">
        <v>100.0</v>
      </c>
      <c r="J158" s="10">
        <f>J156+0.024</f>
        <v>1.265</v>
      </c>
      <c r="L158" s="1">
        <f t="shared" si="1"/>
        <v>3.83295</v>
      </c>
      <c r="N158" s="1">
        <f> (4.98*10000/L158)-10000</f>
        <v>2992.603608</v>
      </c>
    </row>
    <row r="159" ht="14.25" customHeight="1">
      <c r="H159" s="6"/>
      <c r="I159" s="7">
        <v>101.0</v>
      </c>
      <c r="J159" s="10"/>
      <c r="L159" s="1">
        <f t="shared" si="1"/>
        <v>0</v>
      </c>
    </row>
    <row r="160" ht="14.25" customHeight="1">
      <c r="H160" s="6" t="s">
        <v>17</v>
      </c>
      <c r="I160" s="7">
        <v>102.0</v>
      </c>
      <c r="J160" s="10">
        <f>J158+0.024</f>
        <v>1.289</v>
      </c>
      <c r="L160" s="1">
        <f t="shared" si="1"/>
        <v>3.90567</v>
      </c>
      <c r="N160" s="1">
        <f> (4.98*10000/L160)-10000</f>
        <v>2750.693223</v>
      </c>
    </row>
    <row r="161" ht="14.25" customHeight="1">
      <c r="H161" s="6"/>
      <c r="I161" s="7">
        <v>103.0</v>
      </c>
      <c r="J161" s="10"/>
      <c r="L161" s="1">
        <f t="shared" si="1"/>
        <v>0</v>
      </c>
    </row>
    <row r="162" ht="14.25" customHeight="1">
      <c r="H162" s="6" t="s">
        <v>21</v>
      </c>
      <c r="I162" s="7">
        <v>104.0</v>
      </c>
      <c r="J162" s="10">
        <f>J160+0.024</f>
        <v>1.313</v>
      </c>
      <c r="L162" s="1">
        <f t="shared" si="1"/>
        <v>3.97839</v>
      </c>
      <c r="N162" s="1">
        <f> (4.98*10000/L162)-10000</f>
        <v>2517.626477</v>
      </c>
    </row>
    <row r="163" ht="14.25" customHeight="1">
      <c r="H163" s="6"/>
      <c r="I163" s="7">
        <v>105.0</v>
      </c>
      <c r="J163" s="10"/>
      <c r="L163" s="1">
        <f t="shared" si="1"/>
        <v>0</v>
      </c>
    </row>
    <row r="164" ht="14.25" customHeight="1">
      <c r="H164" s="6" t="s">
        <v>25</v>
      </c>
      <c r="I164" s="7">
        <v>106.0</v>
      </c>
      <c r="J164" s="10">
        <f>J162+0.024</f>
        <v>1.337</v>
      </c>
      <c r="L164" s="1">
        <f t="shared" si="1"/>
        <v>4.05111</v>
      </c>
      <c r="N164" s="1">
        <f> (4.98*10000/L164)-10000</f>
        <v>2292.927124</v>
      </c>
    </row>
    <row r="165" ht="14.25" customHeight="1">
      <c r="H165" s="6"/>
      <c r="I165" s="7">
        <v>107.0</v>
      </c>
      <c r="J165" s="10"/>
      <c r="L165" s="1">
        <f t="shared" si="1"/>
        <v>0</v>
      </c>
    </row>
    <row r="166" ht="14.25" customHeight="1">
      <c r="H166" s="6" t="s">
        <v>29</v>
      </c>
      <c r="I166" s="7">
        <v>108.0</v>
      </c>
      <c r="J166" s="10">
        <f>J164+0.024</f>
        <v>1.361</v>
      </c>
      <c r="L166" s="1">
        <f t="shared" si="1"/>
        <v>4.12383</v>
      </c>
      <c r="N166" s="1">
        <f> (4.98*10000/L166)-10000</f>
        <v>2076.152509</v>
      </c>
    </row>
    <row r="167" ht="14.25" customHeight="1">
      <c r="H167" s="6"/>
      <c r="I167" s="7">
        <v>109.0</v>
      </c>
      <c r="J167" s="10"/>
      <c r="L167" s="1">
        <f t="shared" si="1"/>
        <v>0</v>
      </c>
    </row>
    <row r="168" ht="14.25" customHeight="1">
      <c r="H168" s="6" t="s">
        <v>33</v>
      </c>
      <c r="I168" s="7">
        <v>110.0</v>
      </c>
      <c r="J168" s="10">
        <f>J166+0.024</f>
        <v>1.385</v>
      </c>
      <c r="L168" s="1">
        <f t="shared" si="1"/>
        <v>4.19655</v>
      </c>
      <c r="N168" s="1">
        <f> (4.98*10000/L168)-10000</f>
        <v>1866.89066</v>
      </c>
    </row>
    <row r="169" ht="14.25" customHeight="1">
      <c r="H169" s="6"/>
      <c r="I169" s="7">
        <v>111.0</v>
      </c>
      <c r="J169" s="10"/>
      <c r="L169" s="1">
        <f t="shared" si="1"/>
        <v>0</v>
      </c>
    </row>
    <row r="170" ht="14.25" customHeight="1">
      <c r="H170" s="6" t="s">
        <v>37</v>
      </c>
      <c r="I170" s="7">
        <v>112.0</v>
      </c>
      <c r="J170" s="10">
        <f>J168+0.024</f>
        <v>1.409</v>
      </c>
      <c r="L170" s="1">
        <f t="shared" si="1"/>
        <v>4.26927</v>
      </c>
      <c r="N170" s="1">
        <f> (4.98*10000/L170)-10000</f>
        <v>1664.757675</v>
      </c>
    </row>
    <row r="171" ht="14.25" customHeight="1">
      <c r="H171" s="6"/>
      <c r="I171" s="7">
        <v>113.0</v>
      </c>
      <c r="J171" s="10"/>
      <c r="L171" s="1">
        <f t="shared" si="1"/>
        <v>0</v>
      </c>
    </row>
    <row r="172" ht="14.25" customHeight="1">
      <c r="H172" s="6" t="s">
        <v>41</v>
      </c>
      <c r="I172" s="7">
        <v>114.0</v>
      </c>
      <c r="J172" s="10">
        <f>J170+0.024</f>
        <v>1.433</v>
      </c>
      <c r="L172" s="1">
        <f t="shared" si="1"/>
        <v>4.34199</v>
      </c>
      <c r="N172" s="1">
        <f> (4.98*10000/L172)-10000</f>
        <v>1469.395369</v>
      </c>
    </row>
    <row r="173" ht="14.25" customHeight="1">
      <c r="H173" s="6"/>
      <c r="I173" s="7">
        <v>115.0</v>
      </c>
      <c r="J173" s="10"/>
      <c r="L173" s="1">
        <f t="shared" si="1"/>
        <v>0</v>
      </c>
    </row>
    <row r="174" ht="14.25" customHeight="1">
      <c r="H174" s="6" t="s">
        <v>45</v>
      </c>
      <c r="I174" s="7">
        <v>116.0</v>
      </c>
      <c r="J174" s="10">
        <f>J172+0.024</f>
        <v>1.457</v>
      </c>
      <c r="L174" s="1">
        <f t="shared" si="1"/>
        <v>4.41471</v>
      </c>
      <c r="N174" s="1">
        <f> (4.98*10000/L174)-10000</f>
        <v>1280.469159</v>
      </c>
    </row>
    <row r="175" ht="14.25" customHeight="1">
      <c r="H175" s="6"/>
      <c r="I175" s="7">
        <v>117.0</v>
      </c>
      <c r="J175" s="10"/>
      <c r="L175" s="1">
        <f t="shared" si="1"/>
        <v>0</v>
      </c>
    </row>
    <row r="176" ht="14.25" customHeight="1">
      <c r="H176" s="6" t="s">
        <v>49</v>
      </c>
      <c r="I176" s="7">
        <v>118.0</v>
      </c>
      <c r="J176" s="10">
        <f>J174+0.024</f>
        <v>1.481</v>
      </c>
      <c r="L176" s="1">
        <f t="shared" si="1"/>
        <v>4.48743</v>
      </c>
      <c r="N176" s="1">
        <f> (4.98*10000/L176)-10000</f>
        <v>1097.666147</v>
      </c>
    </row>
    <row r="177" ht="14.25" customHeight="1">
      <c r="H177" s="6"/>
      <c r="I177" s="7">
        <v>119.0</v>
      </c>
      <c r="J177" s="10"/>
      <c r="L177" s="1">
        <f t="shared" si="1"/>
        <v>0</v>
      </c>
    </row>
    <row r="178" ht="14.25" customHeight="1">
      <c r="H178" s="6" t="s">
        <v>53</v>
      </c>
      <c r="I178" s="7">
        <v>120.0</v>
      </c>
      <c r="J178" s="9">
        <v>1.504</v>
      </c>
      <c r="L178" s="1">
        <f t="shared" si="1"/>
        <v>4.55712</v>
      </c>
      <c r="N178" s="1">
        <f> (4.98*10000/L178)-10000</f>
        <v>927.9544976</v>
      </c>
    </row>
    <row r="179" ht="14.25" customHeight="1">
      <c r="H179" s="6"/>
      <c r="I179" s="7">
        <v>121.0</v>
      </c>
      <c r="J179" s="10"/>
      <c r="L179" s="1">
        <f t="shared" si="1"/>
        <v>0</v>
      </c>
    </row>
    <row r="180" ht="14.25" customHeight="1">
      <c r="H180" s="6" t="s">
        <v>57</v>
      </c>
      <c r="I180" s="7">
        <v>122.0</v>
      </c>
      <c r="J180" s="10">
        <f>J178+0.024</f>
        <v>1.528</v>
      </c>
      <c r="L180" s="1">
        <f t="shared" si="1"/>
        <v>4.62984</v>
      </c>
      <c r="N180" s="1">
        <f> (4.98*10000/L180)-10000</f>
        <v>756.3112332</v>
      </c>
    </row>
    <row r="181" ht="14.25" customHeight="1">
      <c r="H181" s="6"/>
      <c r="I181" s="7">
        <v>123.0</v>
      </c>
      <c r="J181" s="10"/>
    </row>
    <row r="182" ht="14.25" customHeight="1">
      <c r="H182" s="6" t="s">
        <v>61</v>
      </c>
      <c r="I182" s="7">
        <v>124.0</v>
      </c>
      <c r="J182" s="10">
        <f>J180+0.024</f>
        <v>1.552</v>
      </c>
      <c r="L182" s="1">
        <f> J182*3.03</f>
        <v>4.70256</v>
      </c>
      <c r="N182" s="1">
        <f> (4.98*10000/L182)-10000</f>
        <v>589.9765234</v>
      </c>
    </row>
    <row r="183" ht="14.25" customHeight="1">
      <c r="H183" s="6"/>
      <c r="I183" s="7">
        <v>125.0</v>
      </c>
      <c r="J183" s="10"/>
    </row>
    <row r="184" ht="14.25" customHeight="1">
      <c r="H184" s="6" t="s">
        <v>65</v>
      </c>
      <c r="I184" s="7">
        <v>126.0</v>
      </c>
      <c r="J184" s="10">
        <f>J182+0.024</f>
        <v>1.576</v>
      </c>
      <c r="L184" s="1">
        <f> J184*3.03</f>
        <v>4.77528</v>
      </c>
      <c r="N184" s="1">
        <f> (4.98*10000/L184)-10000</f>
        <v>428.7078454</v>
      </c>
    </row>
    <row r="185" ht="14.25" customHeight="1">
      <c r="H185" s="6"/>
      <c r="I185" s="7">
        <v>127.0</v>
      </c>
      <c r="J185" s="10"/>
    </row>
    <row r="186" ht="14.25" customHeight="1">
      <c r="H186" s="6" t="s">
        <v>69</v>
      </c>
      <c r="I186" s="7">
        <v>128.0</v>
      </c>
      <c r="J186" s="10">
        <f>J184+0.024</f>
        <v>1.6</v>
      </c>
      <c r="L186" s="1">
        <f> J186*3.03</f>
        <v>4.848</v>
      </c>
      <c r="N186" s="1">
        <f> (4.98*10000/L186)-10000</f>
        <v>272.2772277</v>
      </c>
    </row>
    <row r="187" ht="14.25" customHeight="1">
      <c r="H187" s="6"/>
      <c r="I187" s="7">
        <v>129.0</v>
      </c>
      <c r="J187" s="10"/>
    </row>
    <row r="188" ht="14.25" customHeight="1">
      <c r="H188" s="6" t="s">
        <v>73</v>
      </c>
      <c r="I188" s="7">
        <v>130.0</v>
      </c>
      <c r="J188" s="9">
        <f>J186+0.024</f>
        <v>1.624</v>
      </c>
      <c r="L188" s="1">
        <f> J188*3.03</f>
        <v>4.92072</v>
      </c>
      <c r="N188" s="1">
        <f> (4.98*10000/L188)-10000</f>
        <v>120.4701751</v>
      </c>
    </row>
    <row r="189" ht="14.25" customHeight="1">
      <c r="H189" s="6"/>
      <c r="I189" s="7">
        <v>131.0</v>
      </c>
      <c r="J189" s="10"/>
    </row>
    <row r="190" ht="14.25" customHeight="1">
      <c r="H190" s="6" t="s">
        <v>77</v>
      </c>
      <c r="I190" s="7">
        <v>132.0</v>
      </c>
      <c r="J190" s="10">
        <f>J188+0.024</f>
        <v>1.648</v>
      </c>
      <c r="L190" s="1">
        <f> J190*3.03</f>
        <v>4.99344</v>
      </c>
      <c r="N190" s="1">
        <f> (4.98*10000/L190)-10000</f>
        <v>-26.91531289</v>
      </c>
    </row>
    <row r="191" ht="14.25" customHeight="1">
      <c r="H191" s="6"/>
      <c r="I191" s="7">
        <v>133.0</v>
      </c>
      <c r="J191" s="10"/>
    </row>
    <row r="192" ht="14.25" customHeight="1">
      <c r="H192" s="6" t="s">
        <v>81</v>
      </c>
      <c r="I192" s="7">
        <v>134.0</v>
      </c>
      <c r="J192" s="10">
        <f>J190+0.024</f>
        <v>1.672</v>
      </c>
      <c r="L192" s="1">
        <f> J192*3.03</f>
        <v>5.06616</v>
      </c>
      <c r="N192" s="1">
        <f> (4.98*10000/L192)-10000</f>
        <v>-170.0696385</v>
      </c>
    </row>
    <row r="193" ht="14.25" customHeight="1">
      <c r="H193" s="6"/>
      <c r="I193" s="7">
        <v>135.0</v>
      </c>
      <c r="J193" s="10"/>
    </row>
    <row r="194" ht="14.25" customHeight="1">
      <c r="H194" s="6" t="s">
        <v>85</v>
      </c>
      <c r="I194" s="7">
        <v>136.0</v>
      </c>
      <c r="J194" s="10">
        <f>J192+0.024</f>
        <v>1.696</v>
      </c>
      <c r="L194" s="1">
        <f> J194*3.03</f>
        <v>5.13888</v>
      </c>
      <c r="N194" s="1">
        <f> (4.98*10000/L194)-10000</f>
        <v>-309.1724267</v>
      </c>
    </row>
    <row r="195" ht="14.25" customHeight="1">
      <c r="H195" s="6"/>
      <c r="I195" s="7">
        <v>137.0</v>
      </c>
      <c r="J195" s="10"/>
    </row>
    <row r="196" ht="14.25" customHeight="1">
      <c r="H196" s="6" t="s">
        <v>89</v>
      </c>
      <c r="I196" s="7">
        <v>138.0</v>
      </c>
      <c r="J196" s="10">
        <f>J194+0.024</f>
        <v>1.72</v>
      </c>
      <c r="L196" s="1">
        <f> J196*3.03</f>
        <v>5.2116</v>
      </c>
      <c r="N196" s="1">
        <f> (4.98*10000/L196)-10000</f>
        <v>-444.3932765</v>
      </c>
    </row>
    <row r="197" ht="14.25" customHeight="1">
      <c r="H197" s="6"/>
      <c r="I197" s="7">
        <v>139.0</v>
      </c>
      <c r="J197" s="10"/>
    </row>
    <row r="198" ht="14.25" customHeight="1">
      <c r="H198" s="6" t="s">
        <v>93</v>
      </c>
      <c r="I198" s="7">
        <v>140.0</v>
      </c>
      <c r="J198" s="10">
        <f>J196+0.024</f>
        <v>1.744</v>
      </c>
      <c r="L198" s="1">
        <f> J198*3.03</f>
        <v>5.28432</v>
      </c>
      <c r="N198" s="1">
        <f> (4.98*10000/L198)-10000</f>
        <v>-575.8924516</v>
      </c>
    </row>
    <row r="199" ht="14.25" customHeight="1">
      <c r="H199" s="6"/>
      <c r="I199" s="7">
        <v>141.0</v>
      </c>
      <c r="J199" s="10"/>
    </row>
    <row r="200" ht="14.25" customHeight="1">
      <c r="H200" s="6" t="s">
        <v>97</v>
      </c>
      <c r="I200" s="7">
        <v>142.0</v>
      </c>
      <c r="J200" s="10">
        <f>J198+0.024</f>
        <v>1.768</v>
      </c>
      <c r="L200" s="1">
        <f> J200*3.03</f>
        <v>5.35704</v>
      </c>
      <c r="N200" s="1">
        <f> (4.98*10000/L200)-10000</f>
        <v>-703.8215134</v>
      </c>
    </row>
    <row r="201" ht="14.25" customHeight="1">
      <c r="H201" s="11"/>
      <c r="I201" s="12">
        <v>143.0</v>
      </c>
      <c r="J201" s="13"/>
    </row>
    <row r="202" ht="14.25" customHeight="1"/>
    <row r="203" ht="14.25" customHeight="1">
      <c r="H203" s="6" t="s">
        <v>6</v>
      </c>
      <c r="I203" s="7">
        <v>144.0</v>
      </c>
      <c r="J203" s="10">
        <f>J200+0.024</f>
        <v>1.792</v>
      </c>
      <c r="L203" s="1">
        <f> J203*3.03</f>
        <v>5.42976</v>
      </c>
      <c r="N203" s="1">
        <f> (4.98*10000/L203)-10000</f>
        <v>-828.3239038</v>
      </c>
    </row>
    <row r="204" ht="14.25" customHeight="1">
      <c r="H204" s="6"/>
      <c r="I204" s="7">
        <v>145.0</v>
      </c>
      <c r="J204" s="10"/>
    </row>
    <row r="205" ht="14.25" customHeight="1">
      <c r="H205" s="6" t="s">
        <v>10</v>
      </c>
      <c r="I205" s="7">
        <v>146.0</v>
      </c>
      <c r="J205" s="10">
        <f>J203+0.024</f>
        <v>1.816</v>
      </c>
      <c r="L205" s="1">
        <f> J205*3.03</f>
        <v>5.50248</v>
      </c>
      <c r="N205" s="1">
        <f> (4.98*10000/L205)-10000</f>
        <v>-949.5354822</v>
      </c>
    </row>
    <row r="206" ht="14.25" customHeight="1">
      <c r="H206" s="6"/>
      <c r="I206" s="7">
        <v>147.0</v>
      </c>
      <c r="J206" s="10"/>
    </row>
    <row r="207" ht="14.25" customHeight="1">
      <c r="H207" s="6" t="s">
        <v>14</v>
      </c>
      <c r="I207" s="7">
        <v>148.0</v>
      </c>
      <c r="J207" s="10">
        <f>J205+0.024</f>
        <v>1.84</v>
      </c>
      <c r="L207" s="1">
        <f> J207*3.03</f>
        <v>5.5752</v>
      </c>
      <c r="N207" s="1">
        <f> (4.98*10000/L207)-10000</f>
        <v>-1067.585019</v>
      </c>
    </row>
    <row r="208" ht="14.25" customHeight="1">
      <c r="H208" s="6"/>
      <c r="I208" s="7">
        <v>149.0</v>
      </c>
      <c r="J208" s="10"/>
    </row>
    <row r="209" ht="14.25" customHeight="1">
      <c r="H209" s="6" t="s">
        <v>18</v>
      </c>
      <c r="I209" s="7">
        <v>150.0</v>
      </c>
      <c r="J209" s="10">
        <f>J207+0.024</f>
        <v>1.864</v>
      </c>
      <c r="L209" s="1">
        <f> J209*3.03</f>
        <v>5.64792</v>
      </c>
      <c r="N209" s="1">
        <f> (4.98*10000/L209)-10000</f>
        <v>-1182.594654</v>
      </c>
    </row>
    <row r="210" ht="14.25" customHeight="1">
      <c r="H210" s="6"/>
      <c r="I210" s="7">
        <v>151.0</v>
      </c>
      <c r="J210" s="10"/>
    </row>
    <row r="211" ht="14.25" customHeight="1">
      <c r="H211" s="6" t="s">
        <v>22</v>
      </c>
      <c r="I211" s="7">
        <v>152.0</v>
      </c>
      <c r="J211" s="10">
        <f>J209+0.024</f>
        <v>1.888</v>
      </c>
      <c r="L211" s="1">
        <f> J211*3.03</f>
        <v>5.72064</v>
      </c>
      <c r="N211" s="1">
        <f> (4.98*10000/L211)-10000</f>
        <v>-1294.680315</v>
      </c>
    </row>
    <row r="212" ht="14.25" customHeight="1">
      <c r="H212" s="6"/>
      <c r="I212" s="7">
        <v>153.0</v>
      </c>
      <c r="J212" s="10"/>
    </row>
    <row r="213" ht="14.25" customHeight="1">
      <c r="H213" s="6" t="s">
        <v>26</v>
      </c>
      <c r="I213" s="7">
        <v>154.0</v>
      </c>
      <c r="J213" s="10">
        <f>J211+0.024</f>
        <v>1.912</v>
      </c>
      <c r="L213" s="1">
        <f> J213*3.03</f>
        <v>5.79336</v>
      </c>
      <c r="N213" s="1">
        <f> (4.98*10000/L213)-10000</f>
        <v>-1403.952111</v>
      </c>
    </row>
    <row r="214" ht="14.25" customHeight="1">
      <c r="H214" s="6"/>
      <c r="I214" s="7">
        <v>155.0</v>
      </c>
      <c r="J214" s="10"/>
    </row>
    <row r="215" ht="14.25" customHeight="1">
      <c r="H215" s="6" t="s">
        <v>30</v>
      </c>
      <c r="I215" s="7">
        <v>156.0</v>
      </c>
      <c r="J215" s="10">
        <f>J213+0.024</f>
        <v>1.936</v>
      </c>
      <c r="L215" s="1">
        <f> J215*3.03</f>
        <v>5.86608</v>
      </c>
      <c r="N215" s="1">
        <f> (4.98*10000/L215)-10000</f>
        <v>-1510.514688</v>
      </c>
    </row>
    <row r="216" ht="14.25" customHeight="1">
      <c r="H216" s="6"/>
      <c r="I216" s="7">
        <v>157.0</v>
      </c>
      <c r="J216" s="10"/>
    </row>
    <row r="217" ht="14.25" customHeight="1">
      <c r="H217" s="6" t="s">
        <v>34</v>
      </c>
      <c r="I217" s="7">
        <v>158.0</v>
      </c>
      <c r="J217" s="9">
        <f>J215+0.024</f>
        <v>1.96</v>
      </c>
      <c r="L217" s="1">
        <f> J217*3.03</f>
        <v>5.9388</v>
      </c>
      <c r="N217" s="1">
        <f> (4.98*10000/L217)-10000</f>
        <v>-1614.467569</v>
      </c>
    </row>
    <row r="218" ht="14.25" customHeight="1">
      <c r="H218" s="6"/>
      <c r="I218" s="7">
        <v>159.0</v>
      </c>
      <c r="J218" s="10"/>
    </row>
    <row r="219" ht="14.25" customHeight="1">
      <c r="H219" s="6" t="s">
        <v>38</v>
      </c>
      <c r="I219" s="7">
        <v>160.0</v>
      </c>
      <c r="J219" s="10">
        <f>J217+0.024</f>
        <v>1.984</v>
      </c>
      <c r="L219" s="1">
        <f> J219*3.03</f>
        <v>6.01152</v>
      </c>
      <c r="N219" s="1">
        <f> (4.98*10000/L219)-10000</f>
        <v>-1715.905462</v>
      </c>
    </row>
    <row r="220" ht="14.25" customHeight="1">
      <c r="H220" s="6"/>
      <c r="I220" s="7">
        <v>161.0</v>
      </c>
      <c r="J220" s="10"/>
    </row>
    <row r="221" ht="14.25" customHeight="1">
      <c r="H221" s="6" t="s">
        <v>42</v>
      </c>
      <c r="I221" s="7">
        <v>162.0</v>
      </c>
      <c r="J221" s="9">
        <f>J219+0.024</f>
        <v>2.008</v>
      </c>
      <c r="L221" s="1">
        <f> J221*3.03</f>
        <v>6.08424</v>
      </c>
      <c r="N221" s="1">
        <f> (4.98*10000/L221)-10000</f>
        <v>-1814.918544</v>
      </c>
    </row>
    <row r="222" ht="14.25" customHeight="1">
      <c r="H222" s="6"/>
      <c r="I222" s="7">
        <v>163.0</v>
      </c>
      <c r="J222" s="10"/>
    </row>
    <row r="223" ht="14.25" customHeight="1">
      <c r="H223" s="6" t="s">
        <v>46</v>
      </c>
      <c r="I223" s="7">
        <v>164.0</v>
      </c>
      <c r="J223" s="10">
        <f>J221+0.024</f>
        <v>2.032</v>
      </c>
      <c r="L223" s="1">
        <f> J223*3.03</f>
        <v>6.15696</v>
      </c>
      <c r="N223" s="1">
        <f> (4.98*10000/L223)-10000</f>
        <v>-1911.592734</v>
      </c>
    </row>
    <row r="224" ht="14.25" customHeight="1">
      <c r="H224" s="6"/>
      <c r="I224" s="7">
        <v>165.0</v>
      </c>
      <c r="J224" s="10"/>
    </row>
    <row r="225" ht="14.25" customHeight="1">
      <c r="H225" s="6" t="s">
        <v>50</v>
      </c>
      <c r="I225" s="7">
        <v>166.0</v>
      </c>
      <c r="J225" s="10">
        <f>J223+0.024</f>
        <v>2.056</v>
      </c>
      <c r="L225" s="1">
        <f> J225*3.03</f>
        <v>6.22968</v>
      </c>
      <c r="N225" s="1">
        <f> (4.98*10000/L225)-10000</f>
        <v>-2006.00994</v>
      </c>
    </row>
    <row r="226" ht="14.25" customHeight="1">
      <c r="H226" s="6"/>
      <c r="I226" s="7">
        <v>167.0</v>
      </c>
      <c r="J226" s="10"/>
    </row>
    <row r="227" ht="14.25" customHeight="1">
      <c r="H227" s="6" t="s">
        <v>54</v>
      </c>
      <c r="I227" s="7">
        <v>168.0</v>
      </c>
      <c r="J227" s="10">
        <f>J225+0.024</f>
        <v>2.08</v>
      </c>
      <c r="L227" s="1">
        <f> J227*3.03</f>
        <v>6.3024</v>
      </c>
      <c r="N227" s="1">
        <f> (4.98*10000/L227)-10000</f>
        <v>-2098.248286</v>
      </c>
    </row>
    <row r="228" ht="14.25" customHeight="1">
      <c r="H228" s="6"/>
      <c r="I228" s="7">
        <v>169.0</v>
      </c>
      <c r="J228" s="10"/>
    </row>
    <row r="229" ht="14.25" customHeight="1">
      <c r="H229" s="6" t="s">
        <v>58</v>
      </c>
      <c r="I229" s="7">
        <v>170.0</v>
      </c>
      <c r="J229" s="10">
        <f>J227+0.024</f>
        <v>2.104</v>
      </c>
      <c r="L229" s="1">
        <f> J229*3.03</f>
        <v>6.37512</v>
      </c>
      <c r="N229" s="1">
        <f> (4.98*10000/L229)-10000</f>
        <v>-2188.382336</v>
      </c>
    </row>
    <row r="230" ht="14.25" customHeight="1">
      <c r="H230" s="6"/>
      <c r="I230" s="7">
        <v>171.0</v>
      </c>
      <c r="J230" s="10"/>
    </row>
    <row r="231" ht="14.25" customHeight="1">
      <c r="H231" s="6" t="s">
        <v>62</v>
      </c>
      <c r="I231" s="7">
        <v>172.0</v>
      </c>
      <c r="J231" s="10">
        <f>J229+0.024</f>
        <v>2.128</v>
      </c>
      <c r="L231" s="1">
        <f> J231*3.03</f>
        <v>6.44784</v>
      </c>
      <c r="N231" s="1">
        <f> (4.98*10000/L231)-10000</f>
        <v>-2276.483287</v>
      </c>
    </row>
    <row r="232" ht="14.25" customHeight="1">
      <c r="H232" s="6"/>
      <c r="I232" s="7">
        <v>173.0</v>
      </c>
      <c r="J232" s="10"/>
    </row>
    <row r="233" ht="14.25" customHeight="1">
      <c r="H233" s="6" t="s">
        <v>66</v>
      </c>
      <c r="I233" s="7">
        <v>174.0</v>
      </c>
      <c r="J233" s="10">
        <f>J231+0.024</f>
        <v>2.152</v>
      </c>
      <c r="L233" s="1">
        <f> J233*3.03</f>
        <v>6.52056</v>
      </c>
      <c r="N233" s="1">
        <f> (4.98*10000/L233)-10000</f>
        <v>-2362.619162</v>
      </c>
    </row>
    <row r="234" ht="14.25" customHeight="1">
      <c r="H234" s="6"/>
      <c r="I234" s="7">
        <v>175.0</v>
      </c>
      <c r="J234" s="10"/>
    </row>
    <row r="235" ht="14.25" customHeight="1">
      <c r="H235" s="6" t="s">
        <v>70</v>
      </c>
      <c r="I235" s="7">
        <v>176.0</v>
      </c>
      <c r="J235" s="10">
        <f>J233+0.024</f>
        <v>2.176</v>
      </c>
      <c r="L235" s="1">
        <f> J235*3.03</f>
        <v>6.59328</v>
      </c>
      <c r="N235" s="1">
        <f> (4.98*10000/L235)-10000</f>
        <v>-2446.85498</v>
      </c>
    </row>
    <row r="236" ht="14.25" customHeight="1">
      <c r="H236" s="6"/>
      <c r="I236" s="7">
        <v>177.0</v>
      </c>
      <c r="J236" s="10"/>
    </row>
    <row r="237" ht="14.25" customHeight="1">
      <c r="H237" s="6" t="s">
        <v>74</v>
      </c>
      <c r="I237" s="7">
        <v>178.0</v>
      </c>
      <c r="J237" s="10">
        <f>J235+0.024</f>
        <v>2.2</v>
      </c>
      <c r="L237" s="1">
        <f> J237*3.03</f>
        <v>6.666</v>
      </c>
      <c r="N237" s="1">
        <f> (4.98*10000/L237)-10000</f>
        <v>-2529.252925</v>
      </c>
    </row>
    <row r="238" ht="14.25" customHeight="1">
      <c r="H238" s="6"/>
      <c r="I238" s="7">
        <v>179.0</v>
      </c>
      <c r="J238" s="10"/>
    </row>
    <row r="239" ht="14.25" customHeight="1">
      <c r="H239" s="6" t="s">
        <v>78</v>
      </c>
      <c r="I239" s="7">
        <v>180.0</v>
      </c>
      <c r="J239" s="10">
        <f>J237+0.024</f>
        <v>2.224</v>
      </c>
      <c r="L239" s="1">
        <f> J239*3.03</f>
        <v>6.73872</v>
      </c>
      <c r="N239" s="1">
        <f> (4.98*10000/L239)-10000</f>
        <v>-2609.872498</v>
      </c>
    </row>
    <row r="240" ht="14.25" customHeight="1">
      <c r="H240" s="6"/>
      <c r="I240" s="7">
        <v>181.0</v>
      </c>
      <c r="J240" s="10"/>
    </row>
    <row r="241" ht="14.25" customHeight="1">
      <c r="H241" s="6" t="s">
        <v>82</v>
      </c>
      <c r="I241" s="7">
        <v>182.0</v>
      </c>
      <c r="J241" s="10">
        <f>J239+0.024</f>
        <v>2.248</v>
      </c>
      <c r="L241" s="1">
        <f> J241*3.03</f>
        <v>6.81144</v>
      </c>
      <c r="N241" s="1">
        <f> (4.98*10000/L241)-10000</f>
        <v>-2688.770656</v>
      </c>
    </row>
    <row r="242" ht="14.25" customHeight="1">
      <c r="H242" s="6"/>
      <c r="I242" s="7">
        <v>183.0</v>
      </c>
      <c r="J242" s="10"/>
    </row>
    <row r="243" ht="14.25" customHeight="1">
      <c r="H243" s="6" t="s">
        <v>86</v>
      </c>
      <c r="I243" s="7">
        <v>184.0</v>
      </c>
      <c r="J243" s="10">
        <f>J241+0.024</f>
        <v>2.272</v>
      </c>
      <c r="L243" s="1">
        <f> J243*3.03</f>
        <v>6.88416</v>
      </c>
      <c r="N243" s="1">
        <f> (4.98*10000/L243)-10000</f>
        <v>-2766.001952</v>
      </c>
    </row>
    <row r="244" ht="14.25" customHeight="1">
      <c r="H244" s="6"/>
      <c r="I244" s="7">
        <v>185.0</v>
      </c>
      <c r="J244" s="10"/>
    </row>
    <row r="245" ht="14.25" customHeight="1">
      <c r="H245" s="6" t="s">
        <v>90</v>
      </c>
      <c r="I245" s="7">
        <v>186.0</v>
      </c>
      <c r="J245" s="10">
        <f>J243+0.024</f>
        <v>2.296</v>
      </c>
      <c r="L245" s="1">
        <f> J245*3.03</f>
        <v>6.95688</v>
      </c>
      <c r="N245" s="1">
        <f> (4.98*10000/L245)-10000</f>
        <v>-2841.618657</v>
      </c>
    </row>
    <row r="246" ht="14.25" customHeight="1">
      <c r="H246" s="6"/>
      <c r="I246" s="7">
        <v>187.0</v>
      </c>
      <c r="J246" s="10"/>
    </row>
    <row r="247" ht="14.25" customHeight="1">
      <c r="H247" s="6" t="s">
        <v>94</v>
      </c>
      <c r="I247" s="7">
        <v>188.0</v>
      </c>
      <c r="J247" s="10">
        <f>J245+0.024</f>
        <v>2.32</v>
      </c>
      <c r="L247" s="1">
        <f t="shared" ref="L247:L249" si="2"> J247*3.03</f>
        <v>7.0296</v>
      </c>
      <c r="N247" s="1">
        <f> (4.98*10000/L247)-10000</f>
        <v>-2915.670877</v>
      </c>
    </row>
    <row r="248" ht="14.25" customHeight="1">
      <c r="H248" s="6"/>
      <c r="I248" s="7">
        <v>189.0</v>
      </c>
      <c r="J248" s="10"/>
      <c r="L248" s="1">
        <f t="shared" si="2"/>
        <v>0</v>
      </c>
    </row>
    <row r="249" ht="14.25" customHeight="1">
      <c r="H249" s="6" t="s">
        <v>98</v>
      </c>
      <c r="I249" s="7">
        <v>190.0</v>
      </c>
      <c r="J249" s="10">
        <f>J247+0.024</f>
        <v>2.344</v>
      </c>
      <c r="L249" s="1">
        <f t="shared" si="2"/>
        <v>7.10232</v>
      </c>
      <c r="N249" s="1">
        <f> (4.98*10000/L249)-10000</f>
        <v>-2988.20667</v>
      </c>
    </row>
    <row r="250" ht="14.25" customHeight="1">
      <c r="H250" s="11"/>
      <c r="I250" s="12">
        <v>191.0</v>
      </c>
      <c r="J250" s="13"/>
    </row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2023-11-04T22:10:01Z</dcterms:created>
  <dc:creator>fravius vidal</dc:creator>
</cp:coreProperties>
</file>